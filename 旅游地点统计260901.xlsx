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yugen/Downloads/GitHub/nps/"/>
    </mc:Choice>
  </mc:AlternateContent>
  <xr:revisionPtr revIDLastSave="0" documentId="13_ncr:1_{2D799CCC-3185-D146-8306-B800796D9DBC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出行记录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7" i="1" l="1"/>
  <c r="L117" i="1"/>
  <c r="M113" i="1"/>
  <c r="L113" i="1"/>
  <c r="M108" i="1"/>
  <c r="L108" i="1"/>
  <c r="M103" i="1"/>
  <c r="L103" i="1"/>
  <c r="M94" i="1"/>
  <c r="L94" i="1"/>
  <c r="M91" i="1"/>
  <c r="L91" i="1"/>
  <c r="M90" i="1"/>
  <c r="L90" i="1"/>
  <c r="M89" i="1"/>
  <c r="L89" i="1"/>
  <c r="M87" i="1"/>
  <c r="L87" i="1"/>
  <c r="M76" i="1"/>
  <c r="L76" i="1"/>
  <c r="M66" i="1"/>
  <c r="L66" i="1"/>
  <c r="M65" i="1"/>
  <c r="L65" i="1"/>
  <c r="M64" i="1"/>
  <c r="L64" i="1"/>
  <c r="M62" i="1"/>
  <c r="L62" i="1"/>
  <c r="L61" i="1"/>
  <c r="L60" i="1"/>
  <c r="M51" i="1"/>
  <c r="L51" i="1"/>
  <c r="M41" i="1"/>
  <c r="L41" i="1"/>
  <c r="M39" i="1"/>
  <c r="L39" i="1"/>
  <c r="M36" i="1"/>
  <c r="L36" i="1"/>
  <c r="M27" i="1"/>
  <c r="L27" i="1"/>
  <c r="M25" i="1"/>
  <c r="L25" i="1"/>
  <c r="M20" i="1"/>
  <c r="L20" i="1"/>
  <c r="M19" i="1"/>
  <c r="L19" i="1"/>
  <c r="M15" i="1"/>
  <c r="L15" i="1"/>
  <c r="M14" i="1"/>
  <c r="L14" i="1"/>
  <c r="M13" i="1"/>
  <c r="L13" i="1"/>
  <c r="M12" i="1"/>
  <c r="L12" i="1"/>
  <c r="M11" i="1"/>
  <c r="L11" i="1"/>
  <c r="M8" i="1"/>
  <c r="L8" i="1"/>
  <c r="M7" i="1"/>
  <c r="L7" i="1"/>
  <c r="M6" i="1"/>
  <c r="L6" i="1"/>
  <c r="M5" i="1"/>
  <c r="L5" i="1"/>
  <c r="M3" i="1"/>
  <c r="L3" i="1"/>
  <c r="N2" i="1"/>
  <c r="M2" i="1" s="1"/>
  <c r="J2" i="1"/>
  <c r="I2" i="1"/>
  <c r="H2" i="1" a="1"/>
  <c r="H2" i="1" s="1"/>
  <c r="G2" i="1"/>
  <c r="F2" i="1"/>
  <c r="L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<sst xmlns="http://schemas.openxmlformats.org/spreadsheetml/2006/main" count="1285" uniqueCount="761">
  <si>
    <t>#</t>
  </si>
  <si>
    <t>开始日期</t>
  </si>
  <si>
    <t>结束日期</t>
  </si>
  <si>
    <t>二级地名
开始日期</t>
  </si>
  <si>
    <t>出发地</t>
  </si>
  <si>
    <t>国家</t>
  </si>
  <si>
    <t>一级行政区</t>
  </si>
  <si>
    <t>次级行政区</t>
  </si>
  <si>
    <t>飞行</t>
  </si>
  <si>
    <t>世界遗产</t>
  </si>
  <si>
    <t>景点</t>
  </si>
  <si>
    <t>照片视频资料大小</t>
  </si>
  <si>
    <t>资料大小
(Bytes)</t>
  </si>
  <si>
    <t>总计</t>
  </si>
  <si>
    <t>北京</t>
  </si>
  <si>
    <t>中国</t>
  </si>
  <si>
    <t>河北省</t>
  </si>
  <si>
    <t>秦皇岛市</t>
  </si>
  <si>
    <t>北戴河</t>
  </si>
  <si>
    <t>天下第一关古城</t>
  </si>
  <si>
    <t>2004夏</t>
  </si>
  <si>
    <t>辽宁省</t>
  </si>
  <si>
    <t>TODO</t>
  </si>
  <si>
    <t>待核实</t>
  </si>
  <si>
    <t>吉林省</t>
  </si>
  <si>
    <t>黑龙江省</t>
  </si>
  <si>
    <t>上海市</t>
  </si>
  <si>
    <t>东方绿舟</t>
  </si>
  <si>
    <t>金茂大厦</t>
  </si>
  <si>
    <t>东二小学</t>
  </si>
  <si>
    <t>上海世界博览会</t>
  </si>
  <si>
    <t>保定市</t>
  </si>
  <si>
    <t>野三坡风景区</t>
  </si>
  <si>
    <t>承德市</t>
  </si>
  <si>
    <t>承德避暑山庄</t>
  </si>
  <si>
    <t>山东省</t>
  </si>
  <si>
    <t>青岛市</t>
  </si>
  <si>
    <t>胶州湾大桥、五四广场、海军博物馆、八大关等</t>
  </si>
  <si>
    <t>日本</t>
  </si>
  <si>
    <t>茨城県</t>
  </si>
  <si>
    <t>東茨城郡大洗町</t>
  </si>
  <si>
    <t>茨城县立儿童城、大洗矶前神社、大洗水族馆</t>
  </si>
  <si>
    <t>ひたちなか市</t>
  </si>
  <si>
    <t>国营常陆海滨公园</t>
  </si>
  <si>
    <t>東京都</t>
  </si>
  <si>
    <t>台场</t>
  </si>
  <si>
    <t>东京都厅、皇居、秋叶原、浅草寺</t>
  </si>
  <si>
    <t>天津市</t>
  </si>
  <si>
    <t>天津广播电视台等、塘沽海河外滩公园</t>
  </si>
  <si>
    <t>香港特别行政区</t>
  </si>
  <si>
    <t>喇沙书院</t>
  </si>
  <si>
    <t>园艺街、旺角等</t>
  </si>
  <si>
    <t>香港大学、太平山</t>
  </si>
  <si>
    <t>香港中文大学、香港迪士尼乐园</t>
  </si>
  <si>
    <t>红磡、金紫荆广场、尖沙咀</t>
  </si>
  <si>
    <t>四川省</t>
  </si>
  <si>
    <t>阿坝藏族羌族自治州</t>
  </si>
  <si>
    <t>九寨沟国家级自然保护区</t>
  </si>
  <si>
    <t>黄龙风景名胜区</t>
  </si>
  <si>
    <t>大阪府</t>
  </si>
  <si>
    <t>大阪市</t>
  </si>
  <si>
    <t>道顿堀、大阪城、大阪环球影城</t>
  </si>
  <si>
    <t>吹田市</t>
  </si>
  <si>
    <t>万国博览会纪念公园</t>
  </si>
  <si>
    <t>大阪海游馆</t>
  </si>
  <si>
    <t>兵庫県</t>
  </si>
  <si>
    <t>姫路市</t>
  </si>
  <si>
    <t>姬路城</t>
  </si>
  <si>
    <t>神户市</t>
  </si>
  <si>
    <t>神户塔等</t>
  </si>
  <si>
    <t>京都府</t>
  </si>
  <si>
    <t>京都市</t>
  </si>
  <si>
    <t>金阁寺、清水寺</t>
  </si>
  <si>
    <t>岡山県</t>
  </si>
  <si>
    <t>岡山市</t>
  </si>
  <si>
    <t>后乐园</t>
  </si>
  <si>
    <t>奈良県</t>
  </si>
  <si>
    <t>奈良市</t>
  </si>
  <si>
    <t>春日大社（大佛殿向南再向东经KKR后向东北）</t>
  </si>
  <si>
    <t>伏见稻荷大社、岚山</t>
  </si>
  <si>
    <t>陕西省</t>
  </si>
  <si>
    <t>西安市</t>
  </si>
  <si>
    <t>华清池、兵马俑</t>
  </si>
  <si>
    <t>古城墙、小雁塔、大雁塔</t>
  </si>
  <si>
    <t>渭南市</t>
  </si>
  <si>
    <t>华山</t>
  </si>
  <si>
    <t>江西省</t>
  </si>
  <si>
    <t>九江市</t>
  </si>
  <si>
    <t>庐山、东林大佛</t>
  </si>
  <si>
    <t>南昌市</t>
  </si>
  <si>
    <t>滕王阁</t>
  </si>
  <si>
    <t>奥地利</t>
  </si>
  <si>
    <t>维也纳州</t>
  </si>
  <si>
    <t>维也纳</t>
  </si>
  <si>
    <t>St. Stephen's Cathedral</t>
  </si>
  <si>
    <t>梵蒂冈</t>
  </si>
  <si>
    <t>圣彼得大教堂（圣伯多禄大殿）</t>
  </si>
  <si>
    <t>意大利</t>
  </si>
  <si>
    <t>拉齐奥</t>
  </si>
  <si>
    <t>罗马</t>
  </si>
  <si>
    <t>万神庙、许愿池、斗兽场、凯旋门</t>
  </si>
  <si>
    <t>托斯卡纳</t>
  </si>
  <si>
    <t>佛罗伦萨</t>
  </si>
  <si>
    <t>花之圣母大教堂等</t>
  </si>
  <si>
    <t>威尼托</t>
  </si>
  <si>
    <t>威尼斯</t>
  </si>
  <si>
    <t>道奇宫、圣马可教堂、叹息桥</t>
  </si>
  <si>
    <t>瑞士</t>
  </si>
  <si>
    <t>伯尔尼州</t>
  </si>
  <si>
    <t>因特拉肯</t>
  </si>
  <si>
    <t>*</t>
  </si>
  <si>
    <t>金色山口快车至卢瑟恩州卢塞恩</t>
  </si>
  <si>
    <t>卢瑟恩州</t>
  </si>
  <si>
    <t>卢瑟恩</t>
  </si>
  <si>
    <t>住宿；火车至卢瑟恩；Kriens乘缆车至皮拉图斯</t>
  </si>
  <si>
    <t>下瓦尔登州</t>
  </si>
  <si>
    <t>皮拉图斯山</t>
  </si>
  <si>
    <t>法国</t>
  </si>
  <si>
    <t>法兰西岛</t>
  </si>
  <si>
    <t>巴黎</t>
  </si>
  <si>
    <t>卢浮宫、凡尔赛宫、塞纳河游船等</t>
  </si>
  <si>
    <t>比利时</t>
  </si>
  <si>
    <t>布鲁塞尔首都大区</t>
  </si>
  <si>
    <t>布鲁塞尔</t>
  </si>
  <si>
    <t>BRU-&gt;VIE-&gt;PEK，布鲁塞尔机场返程</t>
  </si>
  <si>
    <t>波兰</t>
  </si>
  <si>
    <t>马佐夫舍省</t>
  </si>
  <si>
    <t>华沙</t>
  </si>
  <si>
    <t>PEK-&gt;WAW-&gt;CDG，华沙肖邦机场转机</t>
  </si>
  <si>
    <t>卢浮宫、凯旋门、巴黎圣母院、古监狱等16处</t>
  </si>
  <si>
    <t>枫丹白露</t>
  </si>
  <si>
    <t>枫丹白露宫</t>
  </si>
  <si>
    <t>诺曼底</t>
  </si>
  <si>
    <t>圣米歇尔山</t>
  </si>
  <si>
    <t>普罗旺斯-阿尔卑斯-蓝色海岸</t>
  </si>
  <si>
    <t>Avignon</t>
  </si>
  <si>
    <t>教皇宫（Palais des Papes）、断桥</t>
  </si>
  <si>
    <t>Sault</t>
  </si>
  <si>
    <t>参观薰衣草</t>
  </si>
  <si>
    <t>Nice</t>
  </si>
  <si>
    <t>尼斯海滩</t>
  </si>
  <si>
    <t>摩纳哥</t>
  </si>
  <si>
    <t>摩纳哥亲王宫等</t>
  </si>
  <si>
    <t>俄罗斯</t>
  </si>
  <si>
    <t>莫斯科州</t>
  </si>
  <si>
    <t>Moscow (及附近)</t>
  </si>
  <si>
    <t>NCE-&gt;SVO-&gt;PEK，谢列梅捷沃国际机场转机</t>
  </si>
  <si>
    <t>北京→多伦多</t>
  </si>
  <si>
    <t>菲律宾</t>
  </si>
  <si>
    <t>马尼拉大都会</t>
  </si>
  <si>
    <t>Manila (及附近)</t>
  </si>
  <si>
    <t>PEK-&gt;NML，马尼拉机场转机</t>
  </si>
  <si>
    <t>加拿大</t>
  </si>
  <si>
    <t>不列颠哥伦比亚省</t>
  </si>
  <si>
    <t>Vancouver (及附近)</t>
  </si>
  <si>
    <t>NML-&gt;YVR-&gt;YYZ，温哥华机场经停</t>
  </si>
  <si>
    <t>多伦多</t>
  </si>
  <si>
    <t>安大略省</t>
  </si>
  <si>
    <t>Niagara-on-the-Lake</t>
  </si>
  <si>
    <t>当地游</t>
  </si>
  <si>
    <t>Niagara Falls</t>
  </si>
  <si>
    <t>尼亚加拉大瀑布</t>
  </si>
  <si>
    <t>美国</t>
  </si>
  <si>
    <t>纽约州</t>
  </si>
  <si>
    <t>Ithaca</t>
  </si>
  <si>
    <t>康奈尔大学</t>
  </si>
  <si>
    <t>加利福尼亚州</t>
  </si>
  <si>
    <t>Los Angeles (及附近)</t>
  </si>
  <si>
    <t>UCLA、圣莫妮卡</t>
  </si>
  <si>
    <t>犹他州</t>
  </si>
  <si>
    <t>拱门国家公园</t>
  </si>
  <si>
    <t>科罗拉多州</t>
  </si>
  <si>
    <t>Denver</t>
  </si>
  <si>
    <t>住宿</t>
  </si>
  <si>
    <t>南达科他州</t>
  </si>
  <si>
    <t>疯马巨石、拉什莫尔山</t>
  </si>
  <si>
    <t>怀俄明州</t>
  </si>
  <si>
    <t>恶魔塔</t>
  </si>
  <si>
    <t>黄石国家公园</t>
  </si>
  <si>
    <t>蒙大拿州</t>
  </si>
  <si>
    <t>West Yellowstone</t>
  </si>
  <si>
    <t>Salt Lake City</t>
  </si>
  <si>
    <t>大盐湖</t>
  </si>
  <si>
    <t>内华达州</t>
  </si>
  <si>
    <t>Las Vegas</t>
  </si>
  <si>
    <t>亚利桑那州</t>
  </si>
  <si>
    <t>大峡谷国家公园西峡谷、胡佛水坝</t>
  </si>
  <si>
    <t>Kingston</t>
  </si>
  <si>
    <t>Ottawa</t>
  </si>
  <si>
    <t>国会山庄</t>
  </si>
  <si>
    <t>魁北克省</t>
  </si>
  <si>
    <t>Rivière-du-Loup</t>
  </si>
  <si>
    <t>午餐</t>
  </si>
  <si>
    <t>新不伦瑞克省</t>
  </si>
  <si>
    <t>Fredericton (及附近)</t>
  </si>
  <si>
    <t>Grand Falls、Fredericton当地游</t>
  </si>
  <si>
    <t>新斯科舍省</t>
  </si>
  <si>
    <t>Halifax (及附近)</t>
  </si>
  <si>
    <t>Halifax当地游、Peggys Cove</t>
  </si>
  <si>
    <t>爱德华王子岛省</t>
  </si>
  <si>
    <t>清秀佳人故居、红海滩</t>
  </si>
  <si>
    <t>Moncton (及附近)</t>
  </si>
  <si>
    <t>世界最大龙虾（Shediac）、磁力山</t>
  </si>
  <si>
    <t>Saint John</t>
  </si>
  <si>
    <t>芬迪湾、倒流瀑布</t>
  </si>
  <si>
    <t>Hartland</t>
  </si>
  <si>
    <t>世界最长有盖桥</t>
  </si>
  <si>
    <t>Quebec City</t>
  </si>
  <si>
    <t>魁北克古城</t>
  </si>
  <si>
    <t>Montreal</t>
  </si>
  <si>
    <t>奥林匹克公园、圣母大教堂</t>
  </si>
  <si>
    <t>国会山庄、丽都运河、总督府</t>
  </si>
  <si>
    <t>多伦多→北京</t>
  </si>
  <si>
    <t>YYZ-&gt;PEK，直飞</t>
  </si>
  <si>
    <t>北京市</t>
  </si>
  <si>
    <t>明十三陵景区</t>
  </si>
  <si>
    <t>白洋淀</t>
  </si>
  <si>
    <t>济宁市曲阜市</t>
  </si>
  <si>
    <t>孔府、孔庙</t>
  </si>
  <si>
    <t>临沂市</t>
  </si>
  <si>
    <t>沂蒙云瀑洞天旅游区</t>
  </si>
  <si>
    <t>枣庄市</t>
  </si>
  <si>
    <t>台儿庄古城、京杭大运河</t>
  </si>
  <si>
    <t>安徽省</t>
  </si>
  <si>
    <t>淮南市</t>
  </si>
  <si>
    <t>两琴相悦、龙湖公园</t>
  </si>
  <si>
    <t>安庆市</t>
  </si>
  <si>
    <t>大别山彩虹瀑布</t>
  </si>
  <si>
    <t>鹰潭市</t>
  </si>
  <si>
    <t>上清镇、龙虎山</t>
  </si>
  <si>
    <t>黄山市</t>
  </si>
  <si>
    <t>徽州古城</t>
  </si>
  <si>
    <t>黄山风景区、西递村</t>
  </si>
  <si>
    <t>江苏省</t>
  </si>
  <si>
    <t>南京市</t>
  </si>
  <si>
    <t>明孝陵、中山陵、总统府、夫子庙</t>
  </si>
  <si>
    <t>侵华日军南京大屠杀遇难同胞纪念馆</t>
  </si>
  <si>
    <t>PEK-&gt;YVR-&gt;YYZ，温哥华机场转机</t>
  </si>
  <si>
    <t>墨西哥</t>
  </si>
  <si>
    <t>金塔纳罗奥州</t>
  </si>
  <si>
    <t>Cancun</t>
  </si>
  <si>
    <t>Isla Mujeres</t>
  </si>
  <si>
    <t>女人岛</t>
  </si>
  <si>
    <t>尤卡坦州</t>
  </si>
  <si>
    <t>Chichén Itzá</t>
  </si>
  <si>
    <t>奇琴伊察</t>
  </si>
  <si>
    <t>坎佩切州</t>
  </si>
  <si>
    <t>Campeche City</t>
  </si>
  <si>
    <t>坎佩切古城</t>
  </si>
  <si>
    <t>Uxmal</t>
  </si>
  <si>
    <t>乌斯马尔</t>
  </si>
  <si>
    <t>游船、皇后大学</t>
  </si>
  <si>
    <t>Grouse Mountain、UBC、Wreck Beach</t>
  </si>
  <si>
    <t>艾伯塔省</t>
  </si>
  <si>
    <t>Banff (及附近)</t>
  </si>
  <si>
    <t>班夫国家公园</t>
  </si>
  <si>
    <t>Calgary</t>
  </si>
  <si>
    <t>YYC-&gt;YYZ，卡尔加里机场返程航班</t>
  </si>
  <si>
    <t>湖南省</t>
  </si>
  <si>
    <t>张家界市</t>
  </si>
  <si>
    <t>张家界国家森林公园</t>
  </si>
  <si>
    <t>天门山国家森林公园</t>
  </si>
  <si>
    <t>湘西土家族苗族自治州凤凰县</t>
  </si>
  <si>
    <t>凤凰古城</t>
  </si>
  <si>
    <t>长沙市</t>
  </si>
  <si>
    <t>岳麓山、爱晚亭、岳麓书院、湖南大学</t>
  </si>
  <si>
    <t>浅草寺、晴空塔、秋叶原、皇居、忠犬八公像、秒速五厘米参宫桥铁道口取景地、东京塔</t>
  </si>
  <si>
    <t>静岡県</t>
  </si>
  <si>
    <t>富士宮市</t>
  </si>
  <si>
    <t>富士山</t>
  </si>
  <si>
    <t>神奈川県</t>
  </si>
  <si>
    <t>藤沢市</t>
  </si>
  <si>
    <t>江之岛</t>
  </si>
  <si>
    <t>鎌倉市</t>
  </si>
  <si>
    <t>灌篮高手镰仓高校前铁道口取景地</t>
  </si>
  <si>
    <t>横須賀市</t>
  </si>
  <si>
    <t>Verny公园（横须贺港）</t>
  </si>
  <si>
    <t>栃木県</t>
  </si>
  <si>
    <t>日光市</t>
  </si>
  <si>
    <t>二社一寺、华严瀑布、中禅寺湖</t>
  </si>
  <si>
    <t>神戸市</t>
  </si>
  <si>
    <t>明石海峡大桥</t>
  </si>
  <si>
    <t>広島県</t>
  </si>
  <si>
    <t>呉市</t>
  </si>
  <si>
    <t>大和博物馆</t>
  </si>
  <si>
    <t>広島市</t>
  </si>
  <si>
    <t>原子弹爆炸圆屋顶、平和纪念公园、广岛城</t>
  </si>
  <si>
    <t>廿日市市</t>
  </si>
  <si>
    <t>严岛神社</t>
  </si>
  <si>
    <t>長崎県</t>
  </si>
  <si>
    <t>長崎市</t>
  </si>
  <si>
    <t>稻佐山</t>
  </si>
  <si>
    <t>平和公园、大浦天主教堂等</t>
  </si>
  <si>
    <t>佐世保市</t>
  </si>
  <si>
    <t>海上自卫队佐世保史料馆</t>
  </si>
  <si>
    <t>福岡県</t>
  </si>
  <si>
    <t>福岡市</t>
  </si>
  <si>
    <t>鹿児島県</t>
  </si>
  <si>
    <t>指宿市</t>
  </si>
  <si>
    <t>西大山站</t>
  </si>
  <si>
    <t>鹿児島市</t>
  </si>
  <si>
    <t>仙严园</t>
  </si>
  <si>
    <t>熊本県</t>
  </si>
  <si>
    <t>熊本市</t>
  </si>
  <si>
    <t>熊本熊Square、熊本市中央区役所</t>
  </si>
  <si>
    <t>山口県</t>
  </si>
  <si>
    <t>下関市</t>
  </si>
  <si>
    <t>日清讲和纪念馆、唐户市场</t>
  </si>
  <si>
    <t>北京→Ithaca</t>
  </si>
  <si>
    <t>乌克兰</t>
  </si>
  <si>
    <t>基辅州</t>
  </si>
  <si>
    <t>基辅</t>
  </si>
  <si>
    <t>PEK-&gt;KBP-&gt;JFK，基辅机场转机</t>
  </si>
  <si>
    <t>Rochester</t>
  </si>
  <si>
    <t>罗切斯特大学</t>
  </si>
  <si>
    <t>San Francisco (及附近)</t>
  </si>
  <si>
    <t>Facebook，斯坦佛大学</t>
  </si>
  <si>
    <t>马萨诸塞州</t>
  </si>
  <si>
    <t>Boston</t>
  </si>
  <si>
    <t>哈佛大学、麻省理工学院</t>
  </si>
  <si>
    <t>罗得岛州</t>
  </si>
  <si>
    <t>Providence</t>
  </si>
  <si>
    <t>布朗大学</t>
  </si>
  <si>
    <t>New York City</t>
  </si>
  <si>
    <t>大都会、哥伦比亚大学、MoMA、帝国大厦等</t>
  </si>
  <si>
    <t>Ithaca→北京</t>
  </si>
  <si>
    <t>JFK-&gt;VIE-&gt;PEK，维也纳机场转机</t>
  </si>
  <si>
    <t>苏黎世州</t>
  </si>
  <si>
    <t>苏黎世</t>
  </si>
  <si>
    <t>PEK-&gt;ZRH-&gt;JFK，苏黎世机场转机</t>
  </si>
  <si>
    <t>Redwood City</t>
  </si>
  <si>
    <t>Oracle</t>
  </si>
  <si>
    <t>波多黎各</t>
  </si>
  <si>
    <t>San Juan</t>
  </si>
  <si>
    <t>El Yunque National Forest</t>
  </si>
  <si>
    <t>宾夕法尼亚州</t>
  </si>
  <si>
    <t>Gettysburg (及附近)</t>
  </si>
  <si>
    <t>Gettysburg National Military Park</t>
  </si>
  <si>
    <t>西弗吉尼亚州</t>
  </si>
  <si>
    <t>Harpers Ferry</t>
  </si>
  <si>
    <t>Harpers Ferry National Historical Park</t>
  </si>
  <si>
    <t>马里兰州</t>
  </si>
  <si>
    <t>Baltimore</t>
  </si>
  <si>
    <t>华尔街、自由女神像、大无畏号、世贸、联合国</t>
  </si>
  <si>
    <t>Philadelphia</t>
  </si>
  <si>
    <t>华盛顿特区</t>
  </si>
  <si>
    <t>新闻博物馆、杰佛逊、林肯纪念堂、国会、游船</t>
  </si>
  <si>
    <t>JFK-&gt;PEK，直飞</t>
  </si>
  <si>
    <t>北京→Foster City</t>
  </si>
  <si>
    <t>PEK-&gt;CAN-&gt;SFO，广州白云国际机场转机</t>
  </si>
  <si>
    <t>Foster City</t>
  </si>
  <si>
    <t>Yosemite National Park</t>
  </si>
  <si>
    <t>Great Sand Dunes National Park and Preserve</t>
  </si>
  <si>
    <t>新墨西哥州</t>
  </si>
  <si>
    <t>Taos</t>
  </si>
  <si>
    <t>Taos Pueblo</t>
  </si>
  <si>
    <t>Albuquerque</t>
  </si>
  <si>
    <t>《绝命毒师》取景地</t>
  </si>
  <si>
    <t>Chaco Culture NHP、四角地</t>
  </si>
  <si>
    <t>Foster City→北京</t>
  </si>
  <si>
    <t>SFO-&gt;PEK，直飞</t>
  </si>
  <si>
    <t>PEK-&gt;SFO，直飞</t>
  </si>
  <si>
    <t>MGM Grand Garden Arena周杰伦演唱会</t>
  </si>
  <si>
    <t>Foster City→Palo Alto</t>
  </si>
  <si>
    <t>搬家</t>
  </si>
  <si>
    <t>Palo Alto</t>
  </si>
  <si>
    <t>Great Basin National Park</t>
  </si>
  <si>
    <t>Palo Alto→北京</t>
  </si>
  <si>
    <t>SFO-&gt;PVG，SHA-&gt;PEK</t>
  </si>
  <si>
    <t>北京→Palo Alto</t>
  </si>
  <si>
    <t>Los Angeles (广义)</t>
  </si>
  <si>
    <t>PEK-&gt;LAX-&gt;SFO，洛杉矶转机</t>
  </si>
  <si>
    <t>梅赛德斯奔驰文化中心SNH48总选</t>
  </si>
  <si>
    <t>华盛顿州</t>
  </si>
  <si>
    <t>Seattle</t>
  </si>
  <si>
    <t>佐治亚州</t>
  </si>
  <si>
    <t>Cumberland Island National Seashore</t>
  </si>
  <si>
    <t>佛罗里达州</t>
  </si>
  <si>
    <t>Orlando</t>
  </si>
  <si>
    <t>奥兰多环球影城</t>
  </si>
  <si>
    <t>华纳兄弟工作室、好莱坞、迪士尼乐园</t>
  </si>
  <si>
    <t>得克萨斯州</t>
  </si>
  <si>
    <t>Austin</t>
  </si>
  <si>
    <t>得克萨斯大学奥斯汀分校、Covert Park</t>
  </si>
  <si>
    <t>San Antonio</t>
  </si>
  <si>
    <t>Houston</t>
  </si>
  <si>
    <t>Space Center Houston</t>
  </si>
  <si>
    <t>Dallas</t>
  </si>
  <si>
    <t>Giant Eyeball</t>
  </si>
  <si>
    <t>俄勒冈州</t>
  </si>
  <si>
    <t>Portland</t>
  </si>
  <si>
    <t>Cape Perpetua</t>
  </si>
  <si>
    <t>大东部大区</t>
  </si>
  <si>
    <t>斯特拉斯堡</t>
  </si>
  <si>
    <t>列支敦士登</t>
  </si>
  <si>
    <t>瓦都兹</t>
  </si>
  <si>
    <t>德国</t>
  </si>
  <si>
    <t>巴伐利亚州</t>
  </si>
  <si>
    <t>施万高</t>
  </si>
  <si>
    <t>新天鹅堡</t>
  </si>
  <si>
    <t>慕尼黑</t>
  </si>
  <si>
    <t>德意志博物馆</t>
  </si>
  <si>
    <t>萨尔茨堡州</t>
  </si>
  <si>
    <t>萨尔茨堡</t>
  </si>
  <si>
    <t>莫扎特故居</t>
  </si>
  <si>
    <t>斯洛伐克</t>
  </si>
  <si>
    <t>布拉提斯拉发州</t>
  </si>
  <si>
    <t>布拉提斯拉发</t>
  </si>
  <si>
    <t>匈牙利</t>
  </si>
  <si>
    <t>佩斯州</t>
  </si>
  <si>
    <t>布达佩斯</t>
  </si>
  <si>
    <t>捷克</t>
  </si>
  <si>
    <t>布拉格</t>
  </si>
  <si>
    <t>Key West</t>
  </si>
  <si>
    <t>海明威故居</t>
  </si>
  <si>
    <t>Miami (及附近)</t>
  </si>
  <si>
    <t>Everglades National Park、当地游</t>
  </si>
  <si>
    <t>Palo Alto→Foster City</t>
  </si>
  <si>
    <t>Crater Lake National Park</t>
  </si>
  <si>
    <t>Lassen Volcanic National Park</t>
  </si>
  <si>
    <t>Sequoia National Park</t>
  </si>
  <si>
    <t>Death Valley National Park</t>
  </si>
  <si>
    <t>Joshua Tree National Park</t>
  </si>
  <si>
    <t>Bishop (及附近)</t>
  </si>
  <si>
    <t>North Lake</t>
  </si>
  <si>
    <t>Phoenix (及附近)</t>
  </si>
  <si>
    <t>Tonto National Monument</t>
  </si>
  <si>
    <t>Organ Pipe Cactus National Monument</t>
  </si>
  <si>
    <t>Casa Grande Ruins National Monument</t>
  </si>
  <si>
    <t>Montezuma Castle National Monument</t>
  </si>
  <si>
    <t>Sedona (及附近)</t>
  </si>
  <si>
    <t>Devil's Bridge、Sedona当地游</t>
  </si>
  <si>
    <t>Flagstaff (及附近)</t>
  </si>
  <si>
    <t>San Bernardino</t>
  </si>
  <si>
    <t>Wigwam Motel</t>
  </si>
  <si>
    <t>Lancaster</t>
  </si>
  <si>
    <t>Musical Road</t>
  </si>
  <si>
    <t>Monterey</t>
  </si>
  <si>
    <t>Seven Gables Inn</t>
  </si>
  <si>
    <t>Pinnacles National Park</t>
  </si>
  <si>
    <t>Bakersfield</t>
  </si>
  <si>
    <t>Kern River Campground</t>
  </si>
  <si>
    <t>Lone Pine (及附近)</t>
  </si>
  <si>
    <t>Cheyenne (及附近)</t>
  </si>
  <si>
    <t>南达科塔州</t>
  </si>
  <si>
    <t>Rapid City (及附近)</t>
  </si>
  <si>
    <t>内布拉斯加州</t>
  </si>
  <si>
    <t>Pipe Spring National Monument</t>
  </si>
  <si>
    <t>大卫科波维尔魔术</t>
  </si>
  <si>
    <t>Foster City→San Mateo</t>
  </si>
  <si>
    <t>San Mateo</t>
  </si>
  <si>
    <t>Lava Beds National Monument</t>
  </si>
  <si>
    <t>Redwood NP&amp;SP, Humboldt State Park</t>
  </si>
  <si>
    <t>San Mateo→Sunnyvale</t>
  </si>
  <si>
    <t>Sunnyvale</t>
  </si>
  <si>
    <t>路易斯安那州</t>
  </si>
  <si>
    <t>New Orleans (及附近)</t>
  </si>
  <si>
    <t>WWII Museum, Bourbon St, Jackson Square</t>
  </si>
  <si>
    <t>Oak Alley Plantation</t>
  </si>
  <si>
    <t>Jean Lafitte Airboat</t>
  </si>
  <si>
    <t>Empire State, Flushing, Vessel</t>
  </si>
  <si>
    <t>Hyde Park (及附近)</t>
  </si>
  <si>
    <t>Home of FDR National Historic Site</t>
  </si>
  <si>
    <t>新泽西州</t>
  </si>
  <si>
    <t>Paterson</t>
  </si>
  <si>
    <t>Paterson Great Falls National Historical Park</t>
  </si>
  <si>
    <t>Sunnyvale→
Burnaby</t>
  </si>
  <si>
    <t>Redding (及附近)</t>
  </si>
  <si>
    <t>Whiskeytown National Recreation Area</t>
  </si>
  <si>
    <t>Vancouver, WA</t>
  </si>
  <si>
    <t>Fort Vancouver National Historic Site</t>
  </si>
  <si>
    <t>Astoria (及附近)</t>
  </si>
  <si>
    <t>Lewis and Clark National Historical Park</t>
  </si>
  <si>
    <t>Burnaby</t>
  </si>
  <si>
    <t>Tofino (及附近)</t>
  </si>
  <si>
    <t>Pacific Rim National Park Reserve</t>
  </si>
  <si>
    <t>Ucluelet</t>
  </si>
  <si>
    <t>Amphitrite Point Lighthouse</t>
  </si>
  <si>
    <t>Victoria (及附近)</t>
  </si>
  <si>
    <t>The Butchart Gardens</t>
  </si>
  <si>
    <t>US Embassy, Parliament Hill</t>
  </si>
  <si>
    <t>Burnaby→
Sunnyvale</t>
  </si>
  <si>
    <t>Walla Walla (及附近)</t>
  </si>
  <si>
    <t>Whitman Mission National Historic Site</t>
  </si>
  <si>
    <t>爱达荷州</t>
  </si>
  <si>
    <t>Spalding</t>
  </si>
  <si>
    <t>Nez Perce National Historical Park</t>
  </si>
  <si>
    <t>John Day Fossil Beds National Monument</t>
  </si>
  <si>
    <t>Salinas Pueblo Missions National Monument</t>
  </si>
  <si>
    <t>Carlsbad Caverns National Park</t>
  </si>
  <si>
    <t>Guadalupe Mountains National Park</t>
  </si>
  <si>
    <t>El Paso</t>
  </si>
  <si>
    <t>Chamizal National Memorial</t>
  </si>
  <si>
    <t>Santa Fe (及附近)</t>
  </si>
  <si>
    <t>El Morro NM, El Malpais NM</t>
  </si>
  <si>
    <t>Petroglyph National Monument</t>
  </si>
  <si>
    <t>Sunnyvale→Burnaby→Sunnyvale</t>
  </si>
  <si>
    <t>Oak Bay Beach, Legislative Assembly of BC</t>
  </si>
  <si>
    <t>Point Zero, Mile 0, Craigdarroch Castle</t>
  </si>
  <si>
    <t>Gila Cliff Dwellings National Monument</t>
  </si>
  <si>
    <t>Fort Bowie NHS, Chiricahua NM</t>
  </si>
  <si>
    <t>无</t>
  </si>
  <si>
    <t>Kennedy Space Center</t>
  </si>
  <si>
    <t>Cumberland Island NS, Fort Frederica NM</t>
  </si>
  <si>
    <t>Fort Pulaski National Monument</t>
  </si>
  <si>
    <t>南卡罗莱纳州</t>
  </si>
  <si>
    <t>Reconstruction Era National Historical Park</t>
  </si>
  <si>
    <t>Jacksonville (及附近)</t>
  </si>
  <si>
    <t>Fort Matanzas NM, Castillo de San Marcos NM</t>
  </si>
  <si>
    <t>Seattle (及附近)</t>
  </si>
  <si>
    <t>Canlis</t>
  </si>
  <si>
    <t>Sunnyvale→Kirkland→Sunnyvale</t>
  </si>
  <si>
    <t>Sunnyvale→Kirkland</t>
  </si>
  <si>
    <t>Kirkland</t>
  </si>
  <si>
    <t>Playa del Carmen</t>
  </si>
  <si>
    <t>酒店shuttle、入住Xcaret Arte、Room service宵夜</t>
  </si>
  <si>
    <t>早午餐San Juan自助、Xcaret Park及晚餐自助、Cayuco晚餐</t>
  </si>
  <si>
    <t>Room service午餐、Xplor、Encanta米其林晚餐、酒吧</t>
  </si>
  <si>
    <t>Room service早餐、无边泳池、Xavage、打车、Bikini Azul晚餐、Cilento晚餐</t>
  </si>
  <si>
    <t>Room service早餐、Cilento午餐、画画、无边泳池、El Suspiro晚餐、Los Abrazos晚餐</t>
  </si>
  <si>
    <t>El Suspiro午餐、泳池、沙滩、无边泳池、Los Abrazos晚餐</t>
  </si>
  <si>
    <t>Room service早餐、Cilento午餐、包车至机场</t>
  </si>
  <si>
    <t>PR登陆</t>
  </si>
  <si>
    <t>签证</t>
  </si>
  <si>
    <t>Sea to Sky</t>
  </si>
  <si>
    <t>Kirkland→Sunnyvale→Kirkland</t>
  </si>
  <si>
    <t>Oracle、牙医</t>
  </si>
  <si>
    <t>Kirkland→Redmond</t>
  </si>
  <si>
    <t>Redmond</t>
  </si>
  <si>
    <t>市内观光</t>
  </si>
  <si>
    <t>广西壮族自治区</t>
  </si>
  <si>
    <t>南宁市</t>
  </si>
  <si>
    <t>Redmond→北京</t>
  </si>
  <si>
    <t>SEA-&gt;PVG，PVG-&gt;NNG，NNG-&gt;PKX</t>
  </si>
  <si>
    <t>晚餐</t>
  </si>
  <si>
    <t>桂林市</t>
  </si>
  <si>
    <t>桂林夜景、游船、银子岩、阳朔夜景、竹筏</t>
  </si>
  <si>
    <t>海南省</t>
  </si>
  <si>
    <t>海口市</t>
  </si>
  <si>
    <t>骑楼老街、钟楼</t>
  </si>
  <si>
    <t>文昌市</t>
  </si>
  <si>
    <t>龙楼镇、淇水湾火箭观礼</t>
  </si>
  <si>
    <t>广东省</t>
  </si>
  <si>
    <t>广州市</t>
  </si>
  <si>
    <t>市内观光、长隆马戏团</t>
  </si>
  <si>
    <t>深圳市</t>
  </si>
  <si>
    <t>深圳湾公园、南山公园</t>
  </si>
  <si>
    <t>珠海市</t>
  </si>
  <si>
    <t>港珠澳大桥游</t>
  </si>
  <si>
    <t>颐和园</t>
  </si>
  <si>
    <t>北京→Redmond</t>
  </si>
  <si>
    <t>PEK-&gt;ICN-&gt;SEA，首尔仁川机场转机</t>
  </si>
  <si>
    <t>Lincoln (及附近)</t>
  </si>
  <si>
    <t>堪萨斯州</t>
  </si>
  <si>
    <t>Denver (及附近)</t>
  </si>
  <si>
    <t>Rocky Mountain National Park</t>
  </si>
  <si>
    <t>Grand Junction (及附近)</t>
  </si>
  <si>
    <t>Alamosa (及附近)</t>
  </si>
  <si>
    <t>阿拉斯加州</t>
  </si>
  <si>
    <t>Gustavus</t>
  </si>
  <si>
    <t>Glacier Bay National Park and Preserve</t>
  </si>
  <si>
    <t>Richmond CIBC</t>
  </si>
  <si>
    <t>Kelowna</t>
  </si>
  <si>
    <t>Kelowna, Glacier National Park (Canada)</t>
  </si>
  <si>
    <t>Golden (及附近)</t>
  </si>
  <si>
    <t>Yoho (Emerald Lake)</t>
  </si>
  <si>
    <t>Banff (Moraine Lake, Lake Louise)</t>
  </si>
  <si>
    <t>Jasper (Columbia Icefield)</t>
  </si>
  <si>
    <t>Calgary (及附近)</t>
  </si>
  <si>
    <t>Dinosaur, Writing-on-stone</t>
  </si>
  <si>
    <t>Lethbridge (及附近)</t>
  </si>
  <si>
    <t>Head-smashed-in Buffalo Jump</t>
  </si>
  <si>
    <t>Glacier National Park</t>
  </si>
  <si>
    <t>Missoula (及附近)</t>
  </si>
  <si>
    <t>Cheney (及附近)</t>
  </si>
  <si>
    <t>SEA-&gt;PEK，直飞</t>
  </si>
  <si>
    <t>故宫、八达岭长城、天坛、中轴线</t>
  </si>
  <si>
    <t>PEK-&gt;SEA，直飞</t>
  </si>
  <si>
    <t>Beverly, Getty, Griffth</t>
  </si>
  <si>
    <t>田纳西州</t>
  </si>
  <si>
    <t>Nashville (及附近)</t>
  </si>
  <si>
    <t>Memphis (及附近)</t>
  </si>
  <si>
    <t>密西西比州</t>
  </si>
  <si>
    <t>Tupelo (及附近)</t>
  </si>
  <si>
    <t>亚拉巴马州</t>
  </si>
  <si>
    <t>Birmingham (及附近)</t>
  </si>
  <si>
    <t>Montgomery (及附近)</t>
  </si>
  <si>
    <t>Jackson (及附近)</t>
  </si>
  <si>
    <t>本表用文字</t>
  </si>
  <si>
    <t>一级</t>
  </si>
  <si>
    <t>二级</t>
  </si>
  <si>
    <t>三级</t>
  </si>
  <si>
    <t>第一次去过的例子</t>
  </si>
  <si>
    <t>备注</t>
  </si>
  <si>
    <t>中文</t>
  </si>
  <si>
    <t>省</t>
  </si>
  <si>
    <t>地级市</t>
  </si>
  <si>
    <t>市辖区</t>
  </si>
  <si>
    <t>北戴河区</t>
  </si>
  <si>
    <t>县</t>
  </si>
  <si>
    <t>涞水县</t>
  </si>
  <si>
    <t>县级市</t>
  </si>
  <si>
    <t>华阴市</t>
  </si>
  <si>
    <t>自治州</t>
  </si>
  <si>
    <t>九寨沟镇</t>
  </si>
  <si>
    <t>直辖市</t>
  </si>
  <si>
    <t>~</t>
  </si>
  <si>
    <t>青浦区</t>
  </si>
  <si>
    <t>特别行政区</t>
  </si>
  <si>
    <t>区</t>
  </si>
  <si>
    <t>九龙城区</t>
  </si>
  <si>
    <t>日文</t>
  </si>
  <si>
    <t>都</t>
  </si>
  <si>
    <t>特别区</t>
  </si>
  <si>
    <t>…</t>
  </si>
  <si>
    <t>港区</t>
  </si>
  <si>
    <t>日本仅有两级行政区划，第三级仅作补充</t>
  </si>
  <si>
    <t>（郡）+市/町/村</t>
  </si>
  <si>
    <t>N/A</t>
  </si>
  <si>
    <t>暂无去过的例子</t>
  </si>
  <si>
    <t>道</t>
  </si>
  <si>
    <t>府</t>
  </si>
  <si>
    <t>県</t>
  </si>
  <si>
    <t>德语</t>
  </si>
  <si>
    <t>Land（州）</t>
  </si>
  <si>
    <t>Stadt（市）</t>
  </si>
  <si>
    <t>Wien</t>
  </si>
  <si>
    <t>意大利语</t>
  </si>
  <si>
    <t>Regione（大区）</t>
  </si>
  <si>
    <t>Città metropolitane</t>
  </si>
  <si>
    <t>Comune（市镇）</t>
  </si>
  <si>
    <t>Lazio</t>
  </si>
  <si>
    <t>Roma</t>
  </si>
  <si>
    <t>Provincia（省）</t>
  </si>
  <si>
    <t>暂无去过的例子（威尼斯2015年起不再是省）</t>
  </si>
  <si>
    <t>英语</t>
  </si>
  <si>
    <t>Canton（州）</t>
  </si>
  <si>
    <t>District（区）</t>
  </si>
  <si>
    <t>Municipality</t>
  </si>
  <si>
    <t>Bern</t>
  </si>
  <si>
    <t>Interlaken-Oberhasli</t>
  </si>
  <si>
    <t>Interlaken</t>
  </si>
  <si>
    <t>Nilwalden</t>
  </si>
  <si>
    <t>Hergiswil</t>
  </si>
  <si>
    <t>法语</t>
  </si>
  <si>
    <t>Région（大区）</t>
  </si>
  <si>
    <t>Département（省）</t>
  </si>
  <si>
    <t>Commune（市镇）</t>
  </si>
  <si>
    <t>Île-de-France</t>
  </si>
  <si>
    <t>Paris</t>
  </si>
  <si>
    <t>本表不统计三级的Arrondissement与四级的Canton</t>
  </si>
  <si>
    <t>Arrondissement</t>
  </si>
  <si>
    <t>Bruxelles-Capitale</t>
  </si>
  <si>
    <t>Bruxelles</t>
  </si>
  <si>
    <t>Province（省）</t>
  </si>
  <si>
    <t>波兰语</t>
  </si>
  <si>
    <t>Województwo（省）</t>
  </si>
  <si>
    <t>Powiats</t>
  </si>
  <si>
    <t>Gmina</t>
  </si>
  <si>
    <t>mazowieckie</t>
  </si>
  <si>
    <t>Warszawa</t>
  </si>
  <si>
    <t>Commune</t>
  </si>
  <si>
    <t>Ward（区）</t>
  </si>
  <si>
    <t>Monaco</t>
  </si>
  <si>
    <t>Monaco-Ville</t>
  </si>
  <si>
    <t>俄文</t>
  </si>
  <si>
    <t>Область（州）</t>
  </si>
  <si>
    <t>Город（市）</t>
  </si>
  <si>
    <t>Московская</t>
  </si>
  <si>
    <t>Химки</t>
  </si>
  <si>
    <t>Город Федерального значения（联邦直辖市）</t>
  </si>
  <si>
    <t>[尚未查询]</t>
  </si>
  <si>
    <t>Москва</t>
  </si>
  <si>
    <t>实际尚未去过</t>
  </si>
  <si>
    <t>Region（大区）</t>
  </si>
  <si>
    <t>City</t>
  </si>
  <si>
    <t>Metro Manila</t>
  </si>
  <si>
    <t>Pasay</t>
  </si>
  <si>
    <t>New Brunswick</t>
  </si>
  <si>
    <t>Grand Falls</t>
  </si>
  <si>
    <t>多数省目前仅一级有效行政单位，列在第三级，但由于子类过多，因此皆用Municipality表示。第三级是非建制地区的情况用“U”表示，但在此不再单独列出。东部多省已废除County等行政单位，故第二级中不再列出。特殊：安大略省可分单层或双层，双层的将上层子类列在第二级，下层为第三级；单层直接在第三级。魁北克省分三级，其中中间一级不列出。不列颠哥伦比亚省分两级，分别列在第二三级。</t>
  </si>
  <si>
    <t>Regional Municipality</t>
  </si>
  <si>
    <t>Lower-tier Municipality</t>
  </si>
  <si>
    <t>Onatrio</t>
  </si>
  <si>
    <t>Niagara Reg. Mun.</t>
  </si>
  <si>
    <t>County</t>
  </si>
  <si>
    <t>Ontario</t>
  </si>
  <si>
    <t>Frontenac County</t>
  </si>
  <si>
    <t>Single-tier municipalities</t>
  </si>
  <si>
    <t>Administrative Regions</t>
  </si>
  <si>
    <t>Québec</t>
  </si>
  <si>
    <t>Bas-Saint-Laurent</t>
  </si>
  <si>
    <t>Regional District</t>
  </si>
  <si>
    <t>British Columbia</t>
  </si>
  <si>
    <t>Metro Vancouver</t>
  </si>
  <si>
    <t>Vancouver</t>
  </si>
  <si>
    <t>State（州）</t>
  </si>
  <si>
    <t>City, town, village</t>
  </si>
  <si>
    <t>New York</t>
  </si>
  <si>
    <t>Tompkins County</t>
  </si>
  <si>
    <t>西班牙语</t>
  </si>
  <si>
    <t>Estado（州）</t>
  </si>
  <si>
    <t>Municipios</t>
  </si>
  <si>
    <t>Localidad</t>
  </si>
  <si>
    <t>Quintana Roo</t>
  </si>
  <si>
    <t>Benito Juárez</t>
  </si>
  <si>
    <t>Cancún</t>
  </si>
  <si>
    <t>Fort McHenry National Monument and Historic Shrine</t>
  </si>
  <si>
    <t>Independence Hall, City Hall</t>
  </si>
  <si>
    <t>Space Needle, Pike Market, SPL</t>
  </si>
  <si>
    <t>Olympic National Park, Cape Flattery</t>
  </si>
  <si>
    <t>San Antonio Missions NHP, Alamo</t>
  </si>
  <si>
    <t>Pittock Mansion, Pioneer Square</t>
  </si>
  <si>
    <t>Redwood National Park, Drive-Thru Tree Park</t>
  </si>
  <si>
    <t>Lake Mead National Recreation Area</t>
  </si>
  <si>
    <t>Walnut Canyon NM, Sunset Crater Volcano NM, Wupatki NM</t>
  </si>
  <si>
    <t>Manzanar National Historic Site, Alabama Hills</t>
  </si>
  <si>
    <t>Fort Laramie NHS, Devils Tower NM</t>
  </si>
  <si>
    <t>Wind Cave NP, Jewel Cave NM, Minuteman Missile NHS, Badlands NP</t>
  </si>
  <si>
    <t>Agate Fossil Beds NM, Scotts Bluff NM</t>
  </si>
  <si>
    <t>Capitol Reef National Park</t>
  </si>
  <si>
    <t>Bryce Canyon NP, Cedar Breaks NM</t>
  </si>
  <si>
    <t>Zion National Park</t>
  </si>
  <si>
    <t>Devils Postpile NM, North Lake, Manzanar NHS, Death Valley NP</t>
  </si>
  <si>
    <t>Stonewall NM, Barrymore Theatre (Waitress)</t>
  </si>
  <si>
    <t>African Burial Ground NM, Castle Clinton NM, Statue of Liberty NM</t>
  </si>
  <si>
    <t>Klondike Gold Rush NHP, Ebey's Landing NHR, Coupeville</t>
  </si>
  <si>
    <t>White Sands National Park</t>
  </si>
  <si>
    <t>Manhattan Project NHP, Bandelier NM</t>
  </si>
  <si>
    <t>Coronado N MEM, Tumacacori NHP, Saguaro NP, Organ Pipe Cactus NM</t>
  </si>
  <si>
    <t>Tonto NM, Montezuma Castle NM</t>
  </si>
  <si>
    <t>Fort Caroline NMEM, Timucuan E&amp;HP</t>
  </si>
  <si>
    <t>Hagerman Fossil Beds NM, Craters of the Moon NM &amp; PRES, Minidoka NHS, City of Rocks N RES</t>
  </si>
  <si>
    <t>Petrified Forest NP, Hubbell Trading Post NHS, Canyon de Chelly NM</t>
  </si>
  <si>
    <t>Meteor Crater, Tuzigoot NM, Casa Grande Ruins NM</t>
  </si>
  <si>
    <t>仅打卡：Fort Laramie NHS, Devils Tower NM</t>
  </si>
  <si>
    <t>仅打卡：Scotts Bluff NM, Agate Fossil Beds NM</t>
  </si>
  <si>
    <t>仅打卡：Wind Cave NP, Mount Rushmore N MEM, Jewel Cave NM</t>
  </si>
  <si>
    <t>仅打卡：Minuteman Missile NHS, Badlands NP</t>
  </si>
  <si>
    <t>Niobrara NSR, Missouri NRR</t>
  </si>
  <si>
    <t>Homestead National Historical Park</t>
  </si>
  <si>
    <t>美国地理中心, Nicodemus NHS, Fort Larned NHS</t>
  </si>
  <si>
    <t>Colorado NM, Black Canyon of the Gunnison NP</t>
  </si>
  <si>
    <t>Great Sand Dunes NP &amp; PRES, Florissant Fossil Beds NM</t>
  </si>
  <si>
    <t>Big Hole NB, Grant-Kohrs Ranch NHS</t>
  </si>
  <si>
    <t>Lake Roosevelt National Recreation Area (Grand Coulee Dam)</t>
  </si>
  <si>
    <t>Mojave NPRES, Santa Monica Mountains NRA</t>
  </si>
  <si>
    <t>仅打卡：Channel Islands National Park</t>
  </si>
  <si>
    <t>Sand Creek Massacre NHS, Bent's Old Fort NHS</t>
  </si>
  <si>
    <t>Capulin Volcano National Monument</t>
  </si>
  <si>
    <t>Fort Union NM, Pecos NHP, Valles Caldera NPRES</t>
  </si>
  <si>
    <t>Aztec Ruins National Monument</t>
  </si>
  <si>
    <t>Mesa Verde National Park</t>
  </si>
  <si>
    <t>Hovenweep National Monument</t>
  </si>
  <si>
    <t>Natural Bridges NM, Canyonlands NP</t>
  </si>
  <si>
    <t>Fort Donelson NB, Oracle, Stones River NB</t>
  </si>
  <si>
    <t>Cotton Museum, Shiloh NMP</t>
  </si>
  <si>
    <t>Natchez Trace Parkway</t>
  </si>
  <si>
    <t>Little River Canyon NPRES, Horseshoe Bend NMP</t>
  </si>
  <si>
    <t>Tuskegee Airmen NHS, Tuskegee Institute NHS</t>
  </si>
  <si>
    <t>Medgar and Myrlie Evers Home NM, Vicksburg NMP, Emmett Till and Mamie Till-Mobley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</si>
</sst>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mmdd"/>
    <numFmt numFmtId="165" formatCode="0.00;[Red]0.00"/>
  </numFmts>
  <fonts count="7" x14ac:knownFonts="1">
    <font>
      <sz val="11"/>
      <color theme="1"/>
      <name val="Calibri"/>
    </font>
    <font>
      <sz val="11"/>
      <color theme="1"/>
      <name val="Times New Roman"/>
    </font>
    <font>
      <sz val="11"/>
      <color rgb="FFFF0000"/>
      <name val="Times New Roman"/>
    </font>
    <font>
      <sz val="11"/>
      <color theme="10"/>
      <name val="Calibri"/>
    </font>
    <font>
      <sz val="11"/>
      <color theme="11"/>
      <name val="Calibri"/>
    </font>
    <font>
      <sz val="11"/>
      <color rgb="FF000000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5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1">
      <alignment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>
      <alignment vertical="center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1" fillId="0" borderId="0" xfId="0" applyNumberFormat="1" applyFont="1">
      <alignment vertical="center"/>
    </xf>
    <xf numFmtId="164" fontId="1" fillId="0" borderId="0" xfId="0" applyNumberFormat="1" applyFont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>
      <alignment vertical="center"/>
    </xf>
    <xf numFmtId="0" fontId="1" fillId="0" borderId="2" xfId="0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165" fontId="1" fillId="0" borderId="2" xfId="0" applyNumberFormat="1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2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2" borderId="2" xfId="0" applyFont="1" applyFill="1" applyBorder="1">
      <alignment vertical="center"/>
    </xf>
    <xf numFmtId="164" fontId="1" fillId="0" borderId="3" xfId="0" applyNumberFormat="1" applyFont="1" applyBorder="1" applyAlignment="1">
      <alignment horizontal="right" vertical="center"/>
    </xf>
    <xf numFmtId="0" fontId="1" fillId="0" borderId="3" xfId="0" applyFont="1" applyBorder="1">
      <alignment vertical="center"/>
    </xf>
    <xf numFmtId="0" fontId="1" fillId="2" borderId="3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3" xfId="0" applyFont="1" applyFill="1" applyBorder="1">
      <alignment vertical="center"/>
    </xf>
    <xf numFmtId="164" fontId="1" fillId="0" borderId="1" xfId="0" applyNumberFormat="1" applyFont="1" applyBorder="1">
      <alignment vertical="center"/>
    </xf>
    <xf numFmtId="0" fontId="1" fillId="3" borderId="1" xfId="0" applyFont="1" applyFill="1" applyBorder="1">
      <alignment vertical="center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>
      <alignment vertical="center"/>
    </xf>
    <xf numFmtId="165" fontId="1" fillId="0" borderId="3" xfId="0" applyNumberFormat="1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2" fillId="2" borderId="3" xfId="0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1" fillId="3" borderId="2" xfId="0" applyFont="1" applyFill="1" applyBorder="1">
      <alignment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>
      <alignment vertical="center"/>
    </xf>
    <xf numFmtId="0" fontId="6" fillId="2" borderId="2" xfId="0" applyFont="1" applyFill="1" applyBorder="1">
      <alignment vertical="center"/>
    </xf>
    <xf numFmtId="0" fontId="2" fillId="0" borderId="3" xfId="0" applyFont="1" applyBorder="1">
      <alignment vertical="center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165" fontId="1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>
      <alignment vertical="center"/>
    </xf>
    <xf numFmtId="164" fontId="1" fillId="0" borderId="0" xfId="0" applyNumberFormat="1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3" xfId="0" applyNumberFormat="1" applyFont="1" applyBorder="1">
      <alignment vertical="center"/>
    </xf>
    <xf numFmtId="165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165" fontId="1" fillId="0" borderId="1" xfId="0" applyNumberFormat="1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4" fontId="1" fillId="0" borderId="0" xfId="0" applyNumberFormat="1" applyFont="1" applyAlignment="1">
      <alignment horizontal="left" vertical="center" wrapText="1"/>
    </xf>
    <xf numFmtId="165" fontId="1" fillId="0" borderId="3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>
      <alignment vertical="center"/>
    </xf>
  </cellXfs>
  <cellStyles count="3">
    <cellStyle name="Followed Hyperlink" xfId="2" xr:uid="{00000000-0005-0000-0000-000000000000}"/>
    <cellStyle name="Hyperlink" xfId="1" xr:uid="{00000000-0005-0000-0000-000001000000}"/>
    <cellStyle name="Normal" xfId="0" builtinId="0"/>
  </cellStyles>
  <dxfs count="1">
    <dxf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142875</xdr:colOff>
      <xdr:row>2</xdr:row>
      <xdr:rowOff>102775</xdr:rowOff>
    </xdr:from>
    <xdr:ext cx="2868583" cy="42310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1353800" y="674275"/>
          <a:ext cx="2868583" cy="423109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t">
          <a:noAutofit/>
        </a:bodyPr>
        <a:lstStyle/>
        <a:p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注：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1. 满足一下三项之一则记录条目：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a. 大于一日的行程；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b. 含有世界遗产的行程；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c. 含有飞行的行程。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2. 仅对探索新目的地的行程进行编号。经常通勤的目的地不计编号。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3. 颜色说明：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a. 淡黄色背景：列出地点仅作为转机、换车、住宿或途经用，且（自认为）有明显意义时（如到达某国家时）；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b. 绿色背景：在地点分级和景点共五栏中，（自认为）最具代表性的一栏；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c. 棕色背景：到达过当地世界遗产，仅第一次到达时计算；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d. 红色字：照片/视频目前未整理或缺失；</a:t>
          </a:r>
          <a:endParaRPr/>
        </a:p>
        <a:p>
          <a:endParaRPr/>
        </a:p>
        <a:p>
          <a:r>
            <a:rPr sz="1100">
              <a:solidFill>
                <a:schemeClr val="tx1"/>
              </a:solidFill>
              <a:latin typeface="Times New Roman"/>
              <a:ea typeface="Times New Roman"/>
              <a:cs typeface="Times New Roman"/>
            </a:rPr>
            <a:t>4. 当行政区知名度极低或无中文名称时，使用所在地语言表示。日本各级地名皆用日文表示（景点中仍使用中文）。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Lists_of_municipalities_in_Canada" TargetMode="External"/><Relationship Id="rId7" Type="http://schemas.openxmlformats.org/officeDocument/2006/relationships/hyperlink" Target="https://en.wikipedia.org/wiki/Political_divisions_of_the_United_States" TargetMode="External"/><Relationship Id="rId2" Type="http://schemas.openxmlformats.org/officeDocument/2006/relationships/hyperlink" Target="https://en.wikipedia.org/wiki/Lists_of_municipalities_in_Canada" TargetMode="External"/><Relationship Id="rId1" Type="http://schemas.openxmlformats.org/officeDocument/2006/relationships/hyperlink" Target="https://en.wikipedia.org/wiki/Lists_of_municipalities_in_Canada" TargetMode="External"/><Relationship Id="rId6" Type="http://schemas.openxmlformats.org/officeDocument/2006/relationships/hyperlink" Target="https://en.wikipedia.org/wiki/Lists_of_municipalities_in_Canada" TargetMode="External"/><Relationship Id="rId5" Type="http://schemas.openxmlformats.org/officeDocument/2006/relationships/hyperlink" Target="https://en.wikipedia.org/wiki/Lists_of_municipalities_in_Canada" TargetMode="External"/><Relationship Id="rId4" Type="http://schemas.openxmlformats.org/officeDocument/2006/relationships/hyperlink" Target="https://en.wikipedia.org/wiki/Lists_of_municipalities_in_Can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6"/>
  <sheetViews>
    <sheetView tabSelected="1" zoomScale="150" zoomScaleNormal="150" workbookViewId="0">
      <pane xSplit="3" ySplit="2" topLeftCell="D339" activePane="bottomRight" state="frozen"/>
      <selection pane="topRight"/>
      <selection pane="bottomLeft"/>
      <selection pane="bottomRight" activeCell="R65" sqref="R65"/>
    </sheetView>
  </sheetViews>
  <sheetFormatPr baseColWidth="10" defaultColWidth="8.83203125" defaultRowHeight="14" x14ac:dyDescent="0.2"/>
  <cols>
    <col min="1" max="1" width="2.83203125" style="9" customWidth="1"/>
    <col min="2" max="4" width="8.83203125" style="10" customWidth="1"/>
    <col min="5" max="5" width="15.83203125" style="6" hidden="1" customWidth="1"/>
    <col min="6" max="6" width="10.83203125" style="7" customWidth="1"/>
    <col min="7" max="8" width="16" style="7" customWidth="1"/>
    <col min="9" max="9" width="4.83203125" style="9" customWidth="1"/>
    <col min="10" max="10" width="4.83203125" style="7" customWidth="1"/>
    <col min="11" max="11" width="31.6640625" style="7" customWidth="1"/>
    <col min="12" max="12" width="11.6640625" style="11" hidden="1" customWidth="1"/>
    <col min="13" max="13" width="11.6640625" style="6" hidden="1" customWidth="1"/>
    <col min="14" max="14" width="12" style="9" hidden="1" customWidth="1"/>
    <col min="15" max="16384" width="8.83203125" style="7"/>
  </cols>
  <sheetData>
    <row r="1" spans="1:14" s="6" customFormat="1" ht="15" customHeight="1" x14ac:dyDescent="0.2">
      <c r="A1" s="50" t="s">
        <v>0</v>
      </c>
      <c r="B1" s="15" t="s">
        <v>1</v>
      </c>
      <c r="C1" s="15" t="s">
        <v>2</v>
      </c>
      <c r="D1" s="49" t="s">
        <v>3</v>
      </c>
      <c r="E1" s="1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0" t="s">
        <v>9</v>
      </c>
      <c r="K1" s="6" t="s">
        <v>10</v>
      </c>
      <c r="L1" s="86" t="s">
        <v>11</v>
      </c>
      <c r="M1" s="86"/>
      <c r="N1" s="50" t="s">
        <v>12</v>
      </c>
    </row>
    <row r="2" spans="1:14" s="6" customFormat="1" ht="15" customHeight="1" x14ac:dyDescent="0.2">
      <c r="A2" s="74" t="s">
        <v>13</v>
      </c>
      <c r="B2" s="74"/>
      <c r="C2" s="74"/>
      <c r="D2" s="74"/>
      <c r="F2" s="6">
        <f>SUMPRODUCT((F3:F1009&lt;&gt;"")/COUNTIF(F3:F1009,F3:F1009&amp;""))</f>
        <v>21.000000000000053</v>
      </c>
      <c r="G2" s="6">
        <f>SUMPRODUCT((G3:G1009&lt;&gt;"")/COUNTIF(G3:G1009,G3:G1009&amp;""))</f>
        <v>101</v>
      </c>
      <c r="H2" s="6" cm="1">
        <f t="array" ref="H2">SUMPRODUCT((H3:H1009&lt;&gt;"")/COUNTIF(H3:H1009,H3:H1009&amp;""))</f>
        <v>169.99999999999991</v>
      </c>
      <c r="I2" s="6">
        <f>SUM(I3:I1009)</f>
        <v>154</v>
      </c>
      <c r="J2" s="6">
        <f>SUM(J3:J1009)</f>
        <v>61</v>
      </c>
      <c r="L2" s="56">
        <f>IF(N2&lt;1024,N2,IF(N2&lt;1024^2,N2/1024,IF(N2&lt;1024^3,N2/1024^2,N2/1024^3)))</f>
        <v>90.569153427146375</v>
      </c>
      <c r="M2" s="6" t="str">
        <f>IF(N2&lt;1024,"B",IF(N2&lt;1024^2,"KB",IF(N2&lt;1024^3,"MB","GB")))</f>
        <v>GB</v>
      </c>
      <c r="N2" s="6">
        <f>SUM(N3:N145)</f>
        <v>97247887999</v>
      </c>
    </row>
    <row r="3" spans="1:14" ht="15" customHeight="1" x14ac:dyDescent="0.2">
      <c r="A3" s="63">
        <v>1</v>
      </c>
      <c r="B3" s="3">
        <v>37838</v>
      </c>
      <c r="C3" s="3">
        <v>37839</v>
      </c>
      <c r="D3" s="10">
        <v>37838</v>
      </c>
      <c r="E3" s="74" t="s">
        <v>14</v>
      </c>
      <c r="F3" s="2" t="s">
        <v>15</v>
      </c>
      <c r="G3" s="2" t="s">
        <v>16</v>
      </c>
      <c r="H3" s="2" t="s">
        <v>17</v>
      </c>
      <c r="K3" s="4" t="s">
        <v>18</v>
      </c>
      <c r="L3" s="79">
        <f>IF(N3&lt;1024,N3,IF(N3&lt;1024^2,N3/1024,IF(N3&lt;1024^3,N3/1024^2,N3/1024^3)))</f>
        <v>797.078125</v>
      </c>
      <c r="M3" s="74" t="str">
        <f>IF(N3&lt;1024,"B",IF(N3&lt;1024^2,"KB",IF(N3&lt;1024^3,"MB","GB")))</f>
        <v>MB</v>
      </c>
      <c r="N3" s="63">
        <v>835796992</v>
      </c>
    </row>
    <row r="4" spans="1:14" ht="15" customHeight="1" x14ac:dyDescent="0.2">
      <c r="A4" s="63"/>
      <c r="B4" s="3"/>
      <c r="C4" s="3"/>
      <c r="D4" s="10">
        <v>37839</v>
      </c>
      <c r="E4" s="74"/>
      <c r="F4" s="2"/>
      <c r="G4" s="2"/>
      <c r="H4" s="2"/>
      <c r="K4" s="4" t="s">
        <v>19</v>
      </c>
      <c r="L4" s="79"/>
      <c r="M4" s="74"/>
      <c r="N4" s="64"/>
    </row>
    <row r="5" spans="1:14" s="20" customFormat="1" ht="15" customHeight="1" x14ac:dyDescent="0.2">
      <c r="A5" s="62">
        <v>2</v>
      </c>
      <c r="B5" s="61" t="s">
        <v>20</v>
      </c>
      <c r="C5" s="61"/>
      <c r="D5" s="16"/>
      <c r="E5" s="73" t="s">
        <v>14</v>
      </c>
      <c r="F5" s="88" t="s">
        <v>15</v>
      </c>
      <c r="G5" s="19" t="s">
        <v>21</v>
      </c>
      <c r="H5" s="19" t="s">
        <v>22</v>
      </c>
      <c r="I5" s="51"/>
      <c r="K5" s="88" t="s">
        <v>23</v>
      </c>
      <c r="L5" s="17">
        <f>IF(N5&lt;1024,N5,IF(N5&lt;1024^2,N5/1024,IF(N5&lt;1024^3,N5/1024^2,N5/1024^3)))</f>
        <v>0</v>
      </c>
      <c r="M5" s="18" t="str">
        <f>IF(N5&lt;1024,"B",IF(N5&lt;1024^2,"KB",IF(N5&lt;1024^3,"MB","GB")))</f>
        <v>B</v>
      </c>
      <c r="N5" s="21"/>
    </row>
    <row r="6" spans="1:14" ht="15" customHeight="1" x14ac:dyDescent="0.2">
      <c r="A6" s="63"/>
      <c r="B6" s="3"/>
      <c r="C6" s="3"/>
      <c r="E6" s="74"/>
      <c r="F6" s="89"/>
      <c r="G6" s="22" t="s">
        <v>24</v>
      </c>
      <c r="H6" s="22" t="s">
        <v>22</v>
      </c>
      <c r="I6" s="52"/>
      <c r="K6" s="89"/>
      <c r="L6" s="11">
        <f>IF(N6&lt;1024,N6,IF(N6&lt;1024^2,N6/1024,IF(N6&lt;1024^3,N6/1024^2,N6/1024^3)))</f>
        <v>0</v>
      </c>
      <c r="M6" s="6" t="str">
        <f>IF(N6&lt;1024,"B",IF(N6&lt;1024^2,"KB",IF(N6&lt;1024^3,"MB","GB")))</f>
        <v>B</v>
      </c>
    </row>
    <row r="7" spans="1:14" ht="15" customHeight="1" x14ac:dyDescent="0.2">
      <c r="A7" s="63"/>
      <c r="B7" s="3"/>
      <c r="C7" s="3"/>
      <c r="E7" s="74"/>
      <c r="F7" s="89"/>
      <c r="G7" s="22" t="s">
        <v>25</v>
      </c>
      <c r="H7" s="22" t="s">
        <v>22</v>
      </c>
      <c r="I7" s="52"/>
      <c r="K7" s="89"/>
      <c r="L7" s="11">
        <f>IF(N7&lt;1024,N7,IF(N7&lt;1024^2,N7/1024,IF(N7&lt;1024^3,N7/1024^2,N7/1024^3)))</f>
        <v>0</v>
      </c>
      <c r="M7" s="6" t="str">
        <f>IF(N7&lt;1024,"B",IF(N7&lt;1024^2,"KB",IF(N7&lt;1024^3,"MB","GB")))</f>
        <v>B</v>
      </c>
    </row>
    <row r="8" spans="1:14" s="20" customFormat="1" ht="15" customHeight="1" x14ac:dyDescent="0.2">
      <c r="A8" s="62">
        <v>3</v>
      </c>
      <c r="B8" s="61">
        <v>39195</v>
      </c>
      <c r="C8" s="61">
        <v>39199</v>
      </c>
      <c r="D8" s="16">
        <v>39196</v>
      </c>
      <c r="E8" s="73" t="s">
        <v>14</v>
      </c>
      <c r="F8" s="1" t="s">
        <v>15</v>
      </c>
      <c r="G8" s="83" t="s">
        <v>26</v>
      </c>
      <c r="I8" s="21"/>
      <c r="K8" s="20" t="s">
        <v>27</v>
      </c>
      <c r="L8" s="82">
        <f>IF(N8&lt;1024,N8,IF(N8&lt;1024^2,N8/1024,IF(N8&lt;1024^3,N8/1024^2,N8/1024^3)))</f>
        <v>3.0894012451171875</v>
      </c>
      <c r="M8" s="73" t="str">
        <f>IF(N8&lt;1024,"B",IF(N8&lt;1024^2,"KB",IF(N8&lt;1024^3,"MB","GB")))</f>
        <v>GB</v>
      </c>
      <c r="N8" s="62">
        <v>3317219328</v>
      </c>
    </row>
    <row r="9" spans="1:14" ht="15" customHeight="1" x14ac:dyDescent="0.2">
      <c r="A9" s="63"/>
      <c r="B9" s="3"/>
      <c r="C9" s="3"/>
      <c r="D9" s="10">
        <v>39197</v>
      </c>
      <c r="E9" s="74"/>
      <c r="F9" s="2"/>
      <c r="G9" s="81"/>
      <c r="K9" s="7" t="s">
        <v>28</v>
      </c>
      <c r="L9" s="79"/>
      <c r="M9" s="74"/>
      <c r="N9" s="63"/>
    </row>
    <row r="10" spans="1:14" ht="15" customHeight="1" x14ac:dyDescent="0.2">
      <c r="A10" s="63"/>
      <c r="B10" s="3"/>
      <c r="C10" s="3"/>
      <c r="D10" s="10">
        <v>39198</v>
      </c>
      <c r="E10" s="74"/>
      <c r="F10" s="2"/>
      <c r="G10" s="81"/>
      <c r="K10" s="7" t="s">
        <v>29</v>
      </c>
      <c r="L10" s="79"/>
      <c r="M10" s="74"/>
      <c r="N10" s="64"/>
    </row>
    <row r="11" spans="1:14" s="27" customFormat="1" ht="15" customHeight="1" x14ac:dyDescent="0.2">
      <c r="A11" s="23">
        <v>4</v>
      </c>
      <c r="B11" s="24">
        <v>40357</v>
      </c>
      <c r="C11" s="24">
        <v>40362</v>
      </c>
      <c r="D11" s="24">
        <v>40358</v>
      </c>
      <c r="E11" s="26" t="s">
        <v>14</v>
      </c>
      <c r="F11" s="27" t="s">
        <v>15</v>
      </c>
      <c r="G11" s="28" t="s">
        <v>26</v>
      </c>
      <c r="I11" s="23">
        <v>1</v>
      </c>
      <c r="K11" s="27" t="s">
        <v>30</v>
      </c>
      <c r="L11" s="25">
        <f>IF(N11&lt;1024,N11,IF(N11&lt;1024^2,N11/1024,IF(N11&lt;1024^3,N11/1024^2,N11/1024^3)))</f>
        <v>287.97230243682861</v>
      </c>
      <c r="M11" s="26" t="str">
        <f>IF(N11&lt;1024,"B",IF(N11&lt;1024^2,"KB",IF(N11&lt;1024^3,"MB","GB")))</f>
        <v>MB</v>
      </c>
      <c r="N11" s="23">
        <v>301960845</v>
      </c>
    </row>
    <row r="12" spans="1:14" s="27" customFormat="1" ht="15" customHeight="1" x14ac:dyDescent="0.2">
      <c r="A12" s="23">
        <v>5</v>
      </c>
      <c r="B12" s="24">
        <v>40404</v>
      </c>
      <c r="C12" s="24">
        <v>40405</v>
      </c>
      <c r="D12" s="24">
        <v>40404</v>
      </c>
      <c r="E12" s="26" t="s">
        <v>14</v>
      </c>
      <c r="F12" s="27" t="s">
        <v>15</v>
      </c>
      <c r="G12" s="27" t="s">
        <v>16</v>
      </c>
      <c r="H12" s="26" t="s">
        <v>31</v>
      </c>
      <c r="I12" s="23"/>
      <c r="K12" s="28" t="s">
        <v>32</v>
      </c>
      <c r="L12" s="25">
        <f>IF(N12&lt;1024,N12,IF(N12&lt;1024^2,N12/1024,IF(N12&lt;1024^3,N12/1024^2,N12/1024^3)))</f>
        <v>421.29632472991943</v>
      </c>
      <c r="M12" s="26" t="str">
        <f>IF(N12&lt;1024,"B",IF(N12&lt;1024^2,"KB",IF(N12&lt;1024^3,"MB","GB")))</f>
        <v>MB</v>
      </c>
      <c r="N12" s="23">
        <v>441761215</v>
      </c>
    </row>
    <row r="13" spans="1:14" s="27" customFormat="1" ht="15" customHeight="1" x14ac:dyDescent="0.2">
      <c r="A13" s="23">
        <v>6</v>
      </c>
      <c r="B13" s="24">
        <v>40411</v>
      </c>
      <c r="C13" s="24">
        <v>40412</v>
      </c>
      <c r="D13" s="24">
        <v>40411</v>
      </c>
      <c r="E13" s="26" t="s">
        <v>14</v>
      </c>
      <c r="F13" s="29" t="s">
        <v>15</v>
      </c>
      <c r="G13" s="29" t="s">
        <v>16</v>
      </c>
      <c r="H13" s="30" t="s">
        <v>33</v>
      </c>
      <c r="I13" s="53"/>
      <c r="J13" s="27">
        <v>1</v>
      </c>
      <c r="K13" s="29" t="s">
        <v>34</v>
      </c>
      <c r="L13" s="25">
        <f>IF(N13&lt;1024,N13,IF(N13&lt;1024^2,N13/1024,IF(N13&lt;1024^3,N13/1024^2,N13/1024^3)))</f>
        <v>0</v>
      </c>
      <c r="M13" s="26" t="str">
        <f>IF(N13&lt;1024,"B",IF(N13&lt;1024^2,"KB",IF(N13&lt;1024^3,"MB","GB")))</f>
        <v>B</v>
      </c>
      <c r="N13" s="23"/>
    </row>
    <row r="14" spans="1:14" s="27" customFormat="1" ht="15" customHeight="1" x14ac:dyDescent="0.2">
      <c r="A14" s="23">
        <v>7</v>
      </c>
      <c r="B14" s="24">
        <v>40733</v>
      </c>
      <c r="C14" s="24">
        <v>40739</v>
      </c>
      <c r="D14" s="24">
        <v>40734</v>
      </c>
      <c r="E14" s="26" t="s">
        <v>14</v>
      </c>
      <c r="F14" s="27" t="s">
        <v>15</v>
      </c>
      <c r="G14" s="27" t="s">
        <v>35</v>
      </c>
      <c r="H14" s="28" t="s">
        <v>36</v>
      </c>
      <c r="I14" s="23"/>
      <c r="K14" s="27" t="s">
        <v>37</v>
      </c>
      <c r="L14" s="25">
        <f>IF(N14&lt;1024,N14,IF(N14&lt;1024^2,N14/1024,IF(N14&lt;1024^3,N14/1024^2,N14/1024^3)))</f>
        <v>565.07222080230713</v>
      </c>
      <c r="M14" s="26" t="str">
        <f>IF(N14&lt;1024,"B",IF(N14&lt;1024^2,"KB",IF(N14&lt;1024^3,"MB","GB")))</f>
        <v>MB</v>
      </c>
      <c r="N14" s="23">
        <v>592521169</v>
      </c>
    </row>
    <row r="15" spans="1:14" s="20" customFormat="1" ht="15" customHeight="1" x14ac:dyDescent="0.2">
      <c r="A15" s="62">
        <v>8</v>
      </c>
      <c r="B15" s="61">
        <v>40746</v>
      </c>
      <c r="C15" s="61">
        <v>40751</v>
      </c>
      <c r="D15" s="16">
        <v>40746</v>
      </c>
      <c r="E15" s="73" t="s">
        <v>14</v>
      </c>
      <c r="F15" s="1" t="s">
        <v>38</v>
      </c>
      <c r="G15" s="83" t="s">
        <v>39</v>
      </c>
      <c r="H15" s="20" t="s">
        <v>40</v>
      </c>
      <c r="I15" s="21">
        <v>1</v>
      </c>
      <c r="K15" s="20" t="s">
        <v>41</v>
      </c>
      <c r="L15" s="82">
        <f>IF(N15&lt;1024,N15,IF(N15&lt;1024^2,N15/1024,IF(N15&lt;1024^3,N15/1024^2,N15/1024^3)))</f>
        <v>1.6344232372939587</v>
      </c>
      <c r="M15" s="73" t="str">
        <f>IF(N15&lt;1024,"B",IF(N15&lt;1024^2,"KB",IF(N15&lt;1024^3,"MB","GB")))</f>
        <v>GB</v>
      </c>
      <c r="N15" s="62">
        <v>1754948588</v>
      </c>
    </row>
    <row r="16" spans="1:14" ht="15" customHeight="1" x14ac:dyDescent="0.2">
      <c r="A16" s="63"/>
      <c r="B16" s="3"/>
      <c r="C16" s="3"/>
      <c r="D16" s="10">
        <v>40747</v>
      </c>
      <c r="E16" s="74"/>
      <c r="F16" s="2"/>
      <c r="G16" s="81"/>
      <c r="H16" s="7" t="s">
        <v>42</v>
      </c>
      <c r="K16" s="7" t="s">
        <v>43</v>
      </c>
      <c r="L16" s="79"/>
      <c r="M16" s="74"/>
      <c r="N16" s="63"/>
    </row>
    <row r="17" spans="1:14" ht="15" customHeight="1" x14ac:dyDescent="0.2">
      <c r="A17" s="63"/>
      <c r="B17" s="3"/>
      <c r="C17" s="3"/>
      <c r="D17" s="10">
        <v>40749</v>
      </c>
      <c r="E17" s="74"/>
      <c r="F17" s="2"/>
      <c r="G17" s="81" t="s">
        <v>44</v>
      </c>
      <c r="K17" s="7" t="s">
        <v>45</v>
      </c>
      <c r="L17" s="79"/>
      <c r="M17" s="74"/>
      <c r="N17" s="63"/>
    </row>
    <row r="18" spans="1:14" ht="15" customHeight="1" x14ac:dyDescent="0.2">
      <c r="A18" s="63"/>
      <c r="B18" s="3"/>
      <c r="C18" s="3"/>
      <c r="D18" s="10">
        <v>40750</v>
      </c>
      <c r="E18" s="74"/>
      <c r="F18" s="2"/>
      <c r="G18" s="81"/>
      <c r="I18" s="9">
        <v>1</v>
      </c>
      <c r="K18" s="7" t="s">
        <v>46</v>
      </c>
      <c r="L18" s="79"/>
      <c r="M18" s="74"/>
      <c r="N18" s="64"/>
    </row>
    <row r="19" spans="1:14" s="27" customFormat="1" ht="15" customHeight="1" x14ac:dyDescent="0.2">
      <c r="A19" s="23">
        <v>9</v>
      </c>
      <c r="B19" s="70">
        <v>40817</v>
      </c>
      <c r="C19" s="70"/>
      <c r="D19" s="24"/>
      <c r="E19" s="26" t="s">
        <v>14</v>
      </c>
      <c r="F19" s="27" t="s">
        <v>15</v>
      </c>
      <c r="G19" s="28" t="s">
        <v>47</v>
      </c>
      <c r="I19" s="23"/>
      <c r="K19" s="27" t="s">
        <v>48</v>
      </c>
      <c r="L19" s="25">
        <f>IF(N19&lt;1024,N19,IF(N19&lt;1024^2,N19/1024,IF(N19&lt;1024^3,N19/1024^2,N19/1024^3)))</f>
        <v>284.23830795288086</v>
      </c>
      <c r="M19" s="26" t="str">
        <f>IF(N19&lt;1024,"B",IF(N19&lt;1024^2,"KB",IF(N19&lt;1024^3,"MB","GB")))</f>
        <v>MB</v>
      </c>
      <c r="N19" s="23">
        <v>298045468</v>
      </c>
    </row>
    <row r="20" spans="1:14" ht="15" customHeight="1" x14ac:dyDescent="0.2">
      <c r="A20" s="63">
        <v>10</v>
      </c>
      <c r="B20" s="3">
        <v>40940</v>
      </c>
      <c r="C20" s="3">
        <v>40946</v>
      </c>
      <c r="D20" s="10">
        <v>40940</v>
      </c>
      <c r="E20" s="74" t="s">
        <v>14</v>
      </c>
      <c r="F20" s="2" t="s">
        <v>15</v>
      </c>
      <c r="G20" s="81" t="s">
        <v>49</v>
      </c>
      <c r="I20" s="9">
        <v>1</v>
      </c>
      <c r="K20" s="7" t="s">
        <v>50</v>
      </c>
      <c r="L20" s="79">
        <f>IF(N20&lt;1024,N20,IF(N20&lt;1024^2,N20/1024,IF(N20&lt;1024^3,N20/1024^2,N20/1024^3)))</f>
        <v>3.5819854335859418</v>
      </c>
      <c r="M20" s="74" t="str">
        <f>IF(N20&lt;1024,"B",IF(N20&lt;1024^2,"KB",IF(N20&lt;1024^3,"MB","GB")))</f>
        <v>GB</v>
      </c>
      <c r="N20" s="62">
        <v>3846127573</v>
      </c>
    </row>
    <row r="21" spans="1:14" ht="15" customHeight="1" x14ac:dyDescent="0.2">
      <c r="A21" s="63"/>
      <c r="B21" s="3"/>
      <c r="C21" s="3"/>
      <c r="D21" s="10">
        <v>40941</v>
      </c>
      <c r="E21" s="74"/>
      <c r="F21" s="2"/>
      <c r="G21" s="81"/>
      <c r="K21" s="7" t="s">
        <v>51</v>
      </c>
      <c r="L21" s="79"/>
      <c r="M21" s="74"/>
      <c r="N21" s="63"/>
    </row>
    <row r="22" spans="1:14" ht="15" customHeight="1" x14ac:dyDescent="0.2">
      <c r="A22" s="63"/>
      <c r="B22" s="3"/>
      <c r="C22" s="3"/>
      <c r="D22" s="10">
        <v>40942</v>
      </c>
      <c r="E22" s="74"/>
      <c r="F22" s="2"/>
      <c r="G22" s="81"/>
      <c r="K22" s="7" t="s">
        <v>52</v>
      </c>
      <c r="L22" s="79"/>
      <c r="M22" s="74"/>
      <c r="N22" s="63"/>
    </row>
    <row r="23" spans="1:14" ht="15" customHeight="1" x14ac:dyDescent="0.2">
      <c r="A23" s="63"/>
      <c r="B23" s="3"/>
      <c r="C23" s="3"/>
      <c r="D23" s="10">
        <v>40943</v>
      </c>
      <c r="E23" s="74"/>
      <c r="F23" s="2"/>
      <c r="G23" s="81"/>
      <c r="K23" s="7" t="s">
        <v>53</v>
      </c>
      <c r="L23" s="79"/>
      <c r="M23" s="74"/>
      <c r="N23" s="63"/>
    </row>
    <row r="24" spans="1:14" ht="15" customHeight="1" x14ac:dyDescent="0.2">
      <c r="A24" s="63"/>
      <c r="B24" s="3"/>
      <c r="C24" s="3"/>
      <c r="D24" s="10">
        <v>40944</v>
      </c>
      <c r="E24" s="74"/>
      <c r="F24" s="2"/>
      <c r="G24" s="81"/>
      <c r="I24" s="9">
        <v>1</v>
      </c>
      <c r="K24" s="7" t="s">
        <v>54</v>
      </c>
      <c r="L24" s="79"/>
      <c r="M24" s="74"/>
      <c r="N24" s="64"/>
    </row>
    <row r="25" spans="1:14" s="20" customFormat="1" ht="15" customHeight="1" x14ac:dyDescent="0.2">
      <c r="A25" s="62">
        <v>11</v>
      </c>
      <c r="B25" s="61">
        <v>41135</v>
      </c>
      <c r="C25" s="61">
        <v>41137</v>
      </c>
      <c r="D25" s="16">
        <v>41136</v>
      </c>
      <c r="E25" s="73" t="s">
        <v>14</v>
      </c>
      <c r="F25" s="1" t="s">
        <v>15</v>
      </c>
      <c r="G25" s="1" t="s">
        <v>55</v>
      </c>
      <c r="H25" s="84" t="s">
        <v>56</v>
      </c>
      <c r="I25" s="54">
        <v>2</v>
      </c>
      <c r="J25" s="20">
        <v>1</v>
      </c>
      <c r="K25" s="34" t="s">
        <v>57</v>
      </c>
      <c r="L25" s="82">
        <f>IF(N25&lt;1024,N25,IF(N25&lt;1024^2,N25/1024,IF(N25&lt;1024^3,N25/1024^2,N25/1024^3)))</f>
        <v>3.38706935942173</v>
      </c>
      <c r="M25" s="73" t="str">
        <f>IF(N25&lt;1024,"B",IF(N25&lt;1024^2,"KB",IF(N25&lt;1024^3,"MB","GB")))</f>
        <v>GB</v>
      </c>
      <c r="N25" s="62">
        <v>3636838032</v>
      </c>
    </row>
    <row r="26" spans="1:14" s="32" customFormat="1" ht="15" customHeight="1" x14ac:dyDescent="0.2">
      <c r="A26" s="64"/>
      <c r="B26" s="65"/>
      <c r="C26" s="65"/>
      <c r="D26" s="31">
        <v>41137</v>
      </c>
      <c r="E26" s="75"/>
      <c r="F26" s="69"/>
      <c r="G26" s="69"/>
      <c r="H26" s="85"/>
      <c r="I26" s="55">
        <v>2</v>
      </c>
      <c r="J26" s="32">
        <v>1</v>
      </c>
      <c r="K26" s="33" t="s">
        <v>58</v>
      </c>
      <c r="L26" s="87"/>
      <c r="M26" s="75"/>
      <c r="N26" s="64"/>
    </row>
    <row r="27" spans="1:14" ht="15" customHeight="1" x14ac:dyDescent="0.2">
      <c r="A27" s="63">
        <v>12</v>
      </c>
      <c r="B27" s="3">
        <v>41470</v>
      </c>
      <c r="C27" s="3">
        <v>41477</v>
      </c>
      <c r="D27" s="10">
        <v>41471</v>
      </c>
      <c r="E27" s="74" t="s">
        <v>14</v>
      </c>
      <c r="F27" s="2" t="s">
        <v>38</v>
      </c>
      <c r="G27" s="2" t="s">
        <v>59</v>
      </c>
      <c r="H27" s="4" t="s">
        <v>60</v>
      </c>
      <c r="I27" s="9">
        <v>2</v>
      </c>
      <c r="K27" s="7" t="s">
        <v>61</v>
      </c>
      <c r="L27" s="79">
        <f>IF(N27&lt;1024,N27,IF(N27&lt;1024^2,N27/1024,IF(N27&lt;1024^3,N27/1024^2,N27/1024^3)))</f>
        <v>5.6544748293235898</v>
      </c>
      <c r="M27" s="74" t="str">
        <f>IF(N27&lt;1024,"B",IF(N27&lt;1024^2,"KB",IF(N27&lt;1024^3,"MB","GB")))</f>
        <v>GB</v>
      </c>
      <c r="N27" s="62">
        <v>6071446117</v>
      </c>
    </row>
    <row r="28" spans="1:14" ht="15" customHeight="1" x14ac:dyDescent="0.2">
      <c r="A28" s="63"/>
      <c r="B28" s="3"/>
      <c r="C28" s="3"/>
      <c r="D28" s="72">
        <v>41472</v>
      </c>
      <c r="E28" s="74"/>
      <c r="F28" s="2"/>
      <c r="G28" s="2"/>
      <c r="H28" s="7" t="s">
        <v>62</v>
      </c>
      <c r="K28" s="4" t="s">
        <v>63</v>
      </c>
      <c r="L28" s="79"/>
      <c r="M28" s="74"/>
      <c r="N28" s="63"/>
    </row>
    <row r="29" spans="1:14" ht="15" customHeight="1" x14ac:dyDescent="0.2">
      <c r="A29" s="63"/>
      <c r="B29" s="3"/>
      <c r="C29" s="3"/>
      <c r="D29" s="72"/>
      <c r="E29" s="74"/>
      <c r="F29" s="2"/>
      <c r="G29" s="2"/>
      <c r="H29" s="4" t="s">
        <v>60</v>
      </c>
      <c r="K29" s="7" t="s">
        <v>64</v>
      </c>
      <c r="L29" s="79"/>
      <c r="M29" s="74"/>
      <c r="N29" s="63"/>
    </row>
    <row r="30" spans="1:14" ht="15" customHeight="1" x14ac:dyDescent="0.2">
      <c r="A30" s="63"/>
      <c r="B30" s="3"/>
      <c r="C30" s="3"/>
      <c r="D30" s="72"/>
      <c r="E30" s="74"/>
      <c r="F30" s="2"/>
      <c r="G30" s="2" t="s">
        <v>65</v>
      </c>
      <c r="H30" s="4" t="s">
        <v>66</v>
      </c>
      <c r="J30" s="7">
        <v>1</v>
      </c>
      <c r="K30" s="7" t="s">
        <v>67</v>
      </c>
      <c r="L30" s="79"/>
      <c r="M30" s="74"/>
      <c r="N30" s="63"/>
    </row>
    <row r="31" spans="1:14" ht="15" customHeight="1" x14ac:dyDescent="0.2">
      <c r="A31" s="63"/>
      <c r="B31" s="3"/>
      <c r="C31" s="3"/>
      <c r="D31" s="72"/>
      <c r="E31" s="74"/>
      <c r="F31" s="2"/>
      <c r="G31" s="2"/>
      <c r="H31" s="4" t="s">
        <v>68</v>
      </c>
      <c r="K31" s="7" t="s">
        <v>69</v>
      </c>
      <c r="L31" s="79"/>
      <c r="M31" s="74"/>
      <c r="N31" s="63"/>
    </row>
    <row r="32" spans="1:14" ht="15" customHeight="1" x14ac:dyDescent="0.2">
      <c r="A32" s="63"/>
      <c r="B32" s="3"/>
      <c r="C32" s="3"/>
      <c r="D32" s="14">
        <v>41473</v>
      </c>
      <c r="E32" s="74"/>
      <c r="F32" s="2"/>
      <c r="G32" s="7" t="s">
        <v>70</v>
      </c>
      <c r="H32" s="4" t="s">
        <v>71</v>
      </c>
      <c r="J32" s="7">
        <v>1</v>
      </c>
      <c r="K32" s="7" t="s">
        <v>72</v>
      </c>
      <c r="L32" s="79"/>
      <c r="M32" s="74"/>
      <c r="N32" s="63"/>
    </row>
    <row r="33" spans="1:14" ht="15" customHeight="1" x14ac:dyDescent="0.2">
      <c r="A33" s="63"/>
      <c r="B33" s="3"/>
      <c r="C33" s="3"/>
      <c r="D33" s="10">
        <v>41474</v>
      </c>
      <c r="E33" s="74"/>
      <c r="F33" s="2"/>
      <c r="G33" s="7" t="s">
        <v>73</v>
      </c>
      <c r="H33" s="4" t="s">
        <v>74</v>
      </c>
      <c r="K33" s="7" t="s">
        <v>75</v>
      </c>
      <c r="L33" s="79"/>
      <c r="M33" s="74"/>
      <c r="N33" s="63"/>
    </row>
    <row r="34" spans="1:14" ht="15" customHeight="1" x14ac:dyDescent="0.2">
      <c r="A34" s="63"/>
      <c r="B34" s="3"/>
      <c r="C34" s="3"/>
      <c r="D34" s="10">
        <v>41475</v>
      </c>
      <c r="E34" s="74"/>
      <c r="F34" s="2"/>
      <c r="G34" s="7" t="s">
        <v>76</v>
      </c>
      <c r="H34" s="4" t="s">
        <v>77</v>
      </c>
      <c r="J34" s="7">
        <v>1</v>
      </c>
      <c r="K34" s="7" t="s">
        <v>78</v>
      </c>
      <c r="L34" s="79"/>
      <c r="M34" s="74"/>
      <c r="N34" s="63"/>
    </row>
    <row r="35" spans="1:14" ht="15" customHeight="1" x14ac:dyDescent="0.2">
      <c r="A35" s="63"/>
      <c r="B35" s="3"/>
      <c r="C35" s="3"/>
      <c r="D35" s="14">
        <v>41476</v>
      </c>
      <c r="E35" s="74"/>
      <c r="F35" s="2"/>
      <c r="G35" s="7" t="s">
        <v>70</v>
      </c>
      <c r="H35" s="4" t="s">
        <v>71</v>
      </c>
      <c r="I35" s="9">
        <v>2</v>
      </c>
      <c r="K35" s="7" t="s">
        <v>79</v>
      </c>
      <c r="L35" s="79"/>
      <c r="M35" s="74"/>
      <c r="N35" s="64"/>
    </row>
    <row r="36" spans="1:14" s="20" customFormat="1" ht="15" customHeight="1" x14ac:dyDescent="0.2">
      <c r="A36" s="62">
        <v>13</v>
      </c>
      <c r="B36" s="61">
        <v>41659</v>
      </c>
      <c r="C36" s="61">
        <v>41664</v>
      </c>
      <c r="D36" s="16">
        <v>41660</v>
      </c>
      <c r="E36" s="73" t="s">
        <v>14</v>
      </c>
      <c r="F36" s="1" t="s">
        <v>15</v>
      </c>
      <c r="G36" s="1" t="s">
        <v>80</v>
      </c>
      <c r="H36" s="83" t="s">
        <v>81</v>
      </c>
      <c r="I36" s="21"/>
      <c r="J36" s="20">
        <v>1</v>
      </c>
      <c r="K36" s="20" t="s">
        <v>82</v>
      </c>
      <c r="L36" s="82">
        <f>IF(N36&lt;1024,N36,IF(N36&lt;1024^2,N36/1024,IF(N36&lt;1024^3,N36/1024^2,N36/1024^3)))</f>
        <v>2.2321661338210106</v>
      </c>
      <c r="M36" s="73" t="str">
        <f>IF(N36&lt;1024,"B",IF(N36&lt;1024^2,"KB",IF(N36&lt;1024^3,"MB","GB")))</f>
        <v>GB</v>
      </c>
      <c r="N36" s="62">
        <v>2396770136</v>
      </c>
    </row>
    <row r="37" spans="1:14" ht="15" customHeight="1" x14ac:dyDescent="0.2">
      <c r="A37" s="63"/>
      <c r="B37" s="3"/>
      <c r="C37" s="3"/>
      <c r="D37" s="10">
        <v>41661</v>
      </c>
      <c r="E37" s="74"/>
      <c r="F37" s="2"/>
      <c r="G37" s="2"/>
      <c r="H37" s="81"/>
      <c r="K37" s="7" t="s">
        <v>83</v>
      </c>
      <c r="L37" s="79"/>
      <c r="M37" s="74"/>
      <c r="N37" s="63"/>
    </row>
    <row r="38" spans="1:14" s="32" customFormat="1" ht="15" customHeight="1" x14ac:dyDescent="0.2">
      <c r="A38" s="64"/>
      <c r="B38" s="65"/>
      <c r="C38" s="65"/>
      <c r="D38" s="31">
        <v>41662</v>
      </c>
      <c r="E38" s="75"/>
      <c r="F38" s="69"/>
      <c r="G38" s="69"/>
      <c r="H38" s="32" t="s">
        <v>84</v>
      </c>
      <c r="I38" s="38">
        <v>1</v>
      </c>
      <c r="K38" s="33" t="s">
        <v>85</v>
      </c>
      <c r="L38" s="87"/>
      <c r="M38" s="75"/>
      <c r="N38" s="64"/>
    </row>
    <row r="39" spans="1:14" ht="15" customHeight="1" x14ac:dyDescent="0.2">
      <c r="A39" s="63">
        <v>14</v>
      </c>
      <c r="B39" s="3">
        <v>41782</v>
      </c>
      <c r="C39" s="3">
        <v>41785</v>
      </c>
      <c r="D39" s="10">
        <v>41783</v>
      </c>
      <c r="E39" s="74" t="s">
        <v>14</v>
      </c>
      <c r="F39" s="2" t="s">
        <v>15</v>
      </c>
      <c r="G39" s="2" t="s">
        <v>86</v>
      </c>
      <c r="H39" s="7" t="s">
        <v>87</v>
      </c>
      <c r="J39" s="7">
        <v>1</v>
      </c>
      <c r="K39" s="4" t="s">
        <v>88</v>
      </c>
      <c r="L39" s="79">
        <f>IF(N39&lt;1024,N39,IF(N39&lt;1024^2,N39/1024,IF(N39&lt;1024^3,N39/1024^2,N39/1024^3)))</f>
        <v>1.1255326000973582</v>
      </c>
      <c r="M39" s="74" t="str">
        <f>IF(N39&lt;1024,"B",IF(N39&lt;1024^2,"KB",IF(N39&lt;1024^3,"MB","GB")))</f>
        <v>GB</v>
      </c>
      <c r="N39" s="62">
        <v>1208531427</v>
      </c>
    </row>
    <row r="40" spans="1:14" ht="15" customHeight="1" x14ac:dyDescent="0.2">
      <c r="A40" s="63"/>
      <c r="B40" s="3"/>
      <c r="C40" s="3"/>
      <c r="D40" s="10">
        <v>41784</v>
      </c>
      <c r="E40" s="74"/>
      <c r="F40" s="2"/>
      <c r="G40" s="2"/>
      <c r="H40" s="4" t="s">
        <v>89</v>
      </c>
      <c r="K40" s="7" t="s">
        <v>90</v>
      </c>
      <c r="L40" s="79"/>
      <c r="M40" s="74"/>
      <c r="N40" s="64"/>
    </row>
    <row r="41" spans="1:14" s="20" customFormat="1" ht="15" customHeight="1" x14ac:dyDescent="0.2">
      <c r="A41" s="62">
        <v>15</v>
      </c>
      <c r="B41" s="71">
        <v>41809</v>
      </c>
      <c r="C41" s="61">
        <v>41816</v>
      </c>
      <c r="D41" s="16">
        <v>41809</v>
      </c>
      <c r="E41" s="73" t="s">
        <v>14</v>
      </c>
      <c r="F41" s="20" t="s">
        <v>91</v>
      </c>
      <c r="G41" s="20" t="s">
        <v>92</v>
      </c>
      <c r="H41" s="34" t="s">
        <v>93</v>
      </c>
      <c r="I41" s="21">
        <v>1</v>
      </c>
      <c r="J41" s="20">
        <v>1</v>
      </c>
      <c r="K41" s="20" t="s">
        <v>94</v>
      </c>
      <c r="L41" s="82">
        <f>IF(N41&lt;1024,N41,IF(N41&lt;1024^2,N41/1024,IF(N41&lt;1024^3,N41/1024^2,N41/1024^3)))</f>
        <v>8.3168532084673643</v>
      </c>
      <c r="M41" s="73" t="str">
        <f>IF(N41&lt;1024,"B",IF(N41&lt;1024^2,"KB",IF(N41&lt;1024^3,"MB","GB")))</f>
        <v>GB</v>
      </c>
      <c r="N41" s="62">
        <v>8930153134</v>
      </c>
    </row>
    <row r="42" spans="1:14" ht="15" customHeight="1" x14ac:dyDescent="0.2">
      <c r="A42" s="63"/>
      <c r="B42" s="72"/>
      <c r="C42" s="3"/>
      <c r="D42" s="3">
        <v>41810</v>
      </c>
      <c r="E42" s="74"/>
      <c r="F42" s="4" t="s">
        <v>95</v>
      </c>
      <c r="I42" s="9">
        <v>1</v>
      </c>
      <c r="J42" s="7">
        <v>1</v>
      </c>
      <c r="K42" s="7" t="s">
        <v>96</v>
      </c>
      <c r="L42" s="79"/>
      <c r="M42" s="74"/>
      <c r="N42" s="63"/>
    </row>
    <row r="43" spans="1:14" ht="15" customHeight="1" x14ac:dyDescent="0.2">
      <c r="A43" s="63"/>
      <c r="B43" s="72"/>
      <c r="C43" s="3"/>
      <c r="D43" s="3"/>
      <c r="E43" s="74"/>
      <c r="F43" s="2" t="s">
        <v>97</v>
      </c>
      <c r="G43" s="7" t="s">
        <v>98</v>
      </c>
      <c r="H43" s="4" t="s">
        <v>99</v>
      </c>
      <c r="J43" s="7">
        <v>1</v>
      </c>
      <c r="K43" s="7" t="s">
        <v>100</v>
      </c>
      <c r="L43" s="79"/>
      <c r="M43" s="74"/>
      <c r="N43" s="63"/>
    </row>
    <row r="44" spans="1:14" ht="15" customHeight="1" x14ac:dyDescent="0.2">
      <c r="A44" s="63"/>
      <c r="B44" s="72"/>
      <c r="C44" s="3"/>
      <c r="D44" s="10">
        <v>41811</v>
      </c>
      <c r="E44" s="74"/>
      <c r="F44" s="2"/>
      <c r="G44" s="7" t="s">
        <v>101</v>
      </c>
      <c r="H44" s="4" t="s">
        <v>102</v>
      </c>
      <c r="J44" s="7">
        <v>1</v>
      </c>
      <c r="K44" s="7" t="s">
        <v>103</v>
      </c>
      <c r="L44" s="79"/>
      <c r="M44" s="74"/>
      <c r="N44" s="63"/>
    </row>
    <row r="45" spans="1:14" ht="15" customHeight="1" x14ac:dyDescent="0.2">
      <c r="A45" s="63"/>
      <c r="B45" s="72"/>
      <c r="C45" s="3"/>
      <c r="D45" s="10">
        <v>41812</v>
      </c>
      <c r="E45" s="74"/>
      <c r="F45" s="2"/>
      <c r="G45" s="7" t="s">
        <v>104</v>
      </c>
      <c r="H45" s="4" t="s">
        <v>105</v>
      </c>
      <c r="J45" s="7">
        <v>1</v>
      </c>
      <c r="K45" s="7" t="s">
        <v>106</v>
      </c>
      <c r="L45" s="79"/>
      <c r="M45" s="74"/>
      <c r="N45" s="63"/>
    </row>
    <row r="46" spans="1:14" ht="15" customHeight="1" x14ac:dyDescent="0.2">
      <c r="A46" s="63"/>
      <c r="B46" s="72"/>
      <c r="C46" s="3"/>
      <c r="D46" s="72">
        <v>41813</v>
      </c>
      <c r="E46" s="74"/>
      <c r="F46" s="2" t="s">
        <v>107</v>
      </c>
      <c r="G46" s="7" t="s">
        <v>108</v>
      </c>
      <c r="H46" s="4" t="s">
        <v>109</v>
      </c>
      <c r="J46" s="7" t="s">
        <v>110</v>
      </c>
      <c r="K46" s="7" t="s">
        <v>111</v>
      </c>
      <c r="L46" s="79"/>
      <c r="M46" s="74"/>
      <c r="N46" s="63"/>
    </row>
    <row r="47" spans="1:14" ht="15" customHeight="1" x14ac:dyDescent="0.2">
      <c r="A47" s="63"/>
      <c r="B47" s="72"/>
      <c r="C47" s="3"/>
      <c r="D47" s="72"/>
      <c r="E47" s="74"/>
      <c r="F47" s="2"/>
      <c r="G47" s="5" t="s">
        <v>112</v>
      </c>
      <c r="H47" s="5" t="s">
        <v>113</v>
      </c>
      <c r="K47" s="7" t="s">
        <v>114</v>
      </c>
      <c r="L47" s="79"/>
      <c r="M47" s="74"/>
      <c r="N47" s="63"/>
    </row>
    <row r="48" spans="1:14" ht="15" customHeight="1" x14ac:dyDescent="0.2">
      <c r="A48" s="63"/>
      <c r="B48" s="72"/>
      <c r="C48" s="3"/>
      <c r="D48" s="14">
        <v>41814</v>
      </c>
      <c r="E48" s="74"/>
      <c r="F48" s="2"/>
      <c r="G48" s="7" t="s">
        <v>115</v>
      </c>
      <c r="K48" s="4" t="s">
        <v>116</v>
      </c>
      <c r="L48" s="79"/>
      <c r="M48" s="74"/>
      <c r="N48" s="63"/>
    </row>
    <row r="49" spans="1:14" ht="15" customHeight="1" x14ac:dyDescent="0.2">
      <c r="A49" s="63"/>
      <c r="B49" s="72"/>
      <c r="C49" s="3"/>
      <c r="D49" s="10">
        <v>41815</v>
      </c>
      <c r="E49" s="74"/>
      <c r="F49" s="7" t="s">
        <v>117</v>
      </c>
      <c r="G49" s="7" t="s">
        <v>118</v>
      </c>
      <c r="H49" s="4" t="s">
        <v>119</v>
      </c>
      <c r="J49" s="7">
        <v>2</v>
      </c>
      <c r="K49" s="7" t="s">
        <v>120</v>
      </c>
      <c r="L49" s="79"/>
      <c r="M49" s="74"/>
      <c r="N49" s="63"/>
    </row>
    <row r="50" spans="1:14" s="32" customFormat="1" ht="15" customHeight="1" x14ac:dyDescent="0.2">
      <c r="A50" s="64"/>
      <c r="B50" s="78"/>
      <c r="C50" s="65"/>
      <c r="D50" s="31">
        <v>41816</v>
      </c>
      <c r="E50" s="75"/>
      <c r="F50" s="35" t="s">
        <v>121</v>
      </c>
      <c r="G50" s="35" t="s">
        <v>122</v>
      </c>
      <c r="H50" s="35" t="s">
        <v>123</v>
      </c>
      <c r="I50" s="38">
        <v>2</v>
      </c>
      <c r="K50" s="32" t="s">
        <v>124</v>
      </c>
      <c r="L50" s="87"/>
      <c r="M50" s="75"/>
      <c r="N50" s="64"/>
    </row>
    <row r="51" spans="1:14" ht="15" customHeight="1" x14ac:dyDescent="0.2">
      <c r="A51" s="63">
        <v>16</v>
      </c>
      <c r="B51" s="3">
        <v>41838</v>
      </c>
      <c r="C51" s="3">
        <v>41848</v>
      </c>
      <c r="D51" s="3">
        <v>41838</v>
      </c>
      <c r="E51" s="74" t="s">
        <v>14</v>
      </c>
      <c r="F51" s="5" t="s">
        <v>125</v>
      </c>
      <c r="G51" s="5" t="s">
        <v>126</v>
      </c>
      <c r="H51" s="5" t="s">
        <v>127</v>
      </c>
      <c r="I51" s="9">
        <v>2</v>
      </c>
      <c r="K51" s="7" t="s">
        <v>128</v>
      </c>
      <c r="L51" s="79">
        <f>IF(N51&lt;1024,N51,IF(N51&lt;1024^2,N51/1024,IF(N51&lt;1024^3,N51/1024^2,N51/1024^3)))</f>
        <v>7.2268710415810347</v>
      </c>
      <c r="M51" s="74" t="str">
        <f>IF(N51&lt;1024,"B",IF(N51&lt;1024^2,"KB",IF(N51&lt;1024^3,"MB","GB")))</f>
        <v>GB</v>
      </c>
      <c r="N51" s="62">
        <v>7759793694</v>
      </c>
    </row>
    <row r="52" spans="1:14" ht="15" customHeight="1" x14ac:dyDescent="0.2">
      <c r="A52" s="63"/>
      <c r="B52" s="3"/>
      <c r="C52" s="3"/>
      <c r="D52" s="3"/>
      <c r="E52" s="74"/>
      <c r="F52" s="2" t="s">
        <v>117</v>
      </c>
      <c r="G52" s="2" t="s">
        <v>118</v>
      </c>
      <c r="H52" s="4" t="s">
        <v>119</v>
      </c>
      <c r="K52" s="7" t="s">
        <v>129</v>
      </c>
      <c r="L52" s="79"/>
      <c r="M52" s="74"/>
      <c r="N52" s="63"/>
    </row>
    <row r="53" spans="1:14" ht="15" customHeight="1" x14ac:dyDescent="0.2">
      <c r="A53" s="63"/>
      <c r="B53" s="3"/>
      <c r="C53" s="3"/>
      <c r="D53" s="10">
        <v>41841</v>
      </c>
      <c r="E53" s="74"/>
      <c r="F53" s="2"/>
      <c r="G53" s="2"/>
      <c r="H53" s="4" t="s">
        <v>130</v>
      </c>
      <c r="J53" s="7">
        <v>1</v>
      </c>
      <c r="K53" s="7" t="s">
        <v>131</v>
      </c>
      <c r="L53" s="79"/>
      <c r="M53" s="74"/>
      <c r="N53" s="63"/>
    </row>
    <row r="54" spans="1:14" ht="15" customHeight="1" x14ac:dyDescent="0.2">
      <c r="A54" s="63"/>
      <c r="B54" s="3"/>
      <c r="C54" s="3"/>
      <c r="D54" s="10">
        <v>41844</v>
      </c>
      <c r="E54" s="74"/>
      <c r="F54" s="2"/>
      <c r="G54" s="7" t="s">
        <v>132</v>
      </c>
      <c r="J54" s="7">
        <v>1</v>
      </c>
      <c r="K54" s="4" t="s">
        <v>133</v>
      </c>
      <c r="L54" s="79"/>
      <c r="M54" s="74"/>
      <c r="N54" s="63"/>
    </row>
    <row r="55" spans="1:14" ht="15" customHeight="1" x14ac:dyDescent="0.2">
      <c r="A55" s="63"/>
      <c r="B55" s="3"/>
      <c r="C55" s="3"/>
      <c r="D55" s="10">
        <v>41845</v>
      </c>
      <c r="E55" s="74"/>
      <c r="F55" s="2"/>
      <c r="G55" s="80" t="s">
        <v>134</v>
      </c>
      <c r="H55" s="4" t="s">
        <v>135</v>
      </c>
      <c r="J55" s="7">
        <v>1</v>
      </c>
      <c r="K55" s="7" t="s">
        <v>136</v>
      </c>
      <c r="L55" s="79"/>
      <c r="M55" s="74"/>
      <c r="N55" s="63"/>
    </row>
    <row r="56" spans="1:14" ht="15" customHeight="1" x14ac:dyDescent="0.2">
      <c r="A56" s="63"/>
      <c r="B56" s="3"/>
      <c r="C56" s="3"/>
      <c r="D56" s="10">
        <v>41846</v>
      </c>
      <c r="E56" s="74"/>
      <c r="F56" s="2"/>
      <c r="G56" s="80"/>
      <c r="H56" s="4" t="s">
        <v>137</v>
      </c>
      <c r="K56" s="7" t="s">
        <v>138</v>
      </c>
      <c r="L56" s="79"/>
      <c r="M56" s="74"/>
      <c r="N56" s="63"/>
    </row>
    <row r="57" spans="1:14" ht="15" customHeight="1" x14ac:dyDescent="0.2">
      <c r="A57" s="63"/>
      <c r="B57" s="3"/>
      <c r="C57" s="3"/>
      <c r="D57" s="72">
        <v>41847</v>
      </c>
      <c r="E57" s="74"/>
      <c r="F57" s="2"/>
      <c r="G57" s="80"/>
      <c r="H57" s="4" t="s">
        <v>139</v>
      </c>
      <c r="K57" s="7" t="s">
        <v>140</v>
      </c>
      <c r="L57" s="79"/>
      <c r="M57" s="74"/>
      <c r="N57" s="63"/>
    </row>
    <row r="58" spans="1:14" ht="15" customHeight="1" x14ac:dyDescent="0.2">
      <c r="A58" s="63"/>
      <c r="B58" s="3"/>
      <c r="C58" s="3"/>
      <c r="D58" s="72"/>
      <c r="E58" s="74"/>
      <c r="F58" s="4" t="s">
        <v>141</v>
      </c>
      <c r="G58" s="7" t="s">
        <v>141</v>
      </c>
      <c r="K58" s="7" t="s">
        <v>142</v>
      </c>
      <c r="L58" s="79"/>
      <c r="M58" s="74"/>
      <c r="N58" s="63"/>
    </row>
    <row r="59" spans="1:14" ht="15" customHeight="1" x14ac:dyDescent="0.2">
      <c r="A59" s="63"/>
      <c r="B59" s="3"/>
      <c r="C59" s="3"/>
      <c r="D59" s="14">
        <v>41848</v>
      </c>
      <c r="E59" s="74"/>
      <c r="F59" s="5" t="s">
        <v>143</v>
      </c>
      <c r="G59" s="5" t="s">
        <v>144</v>
      </c>
      <c r="H59" s="5" t="s">
        <v>145</v>
      </c>
      <c r="I59" s="9">
        <v>2</v>
      </c>
      <c r="K59" s="7" t="s">
        <v>146</v>
      </c>
      <c r="L59" s="79"/>
      <c r="M59" s="74"/>
      <c r="N59" s="64"/>
    </row>
    <row r="60" spans="1:14" s="20" customFormat="1" ht="15" customHeight="1" x14ac:dyDescent="0.2">
      <c r="A60" s="21"/>
      <c r="B60" s="61">
        <v>41877</v>
      </c>
      <c r="C60" s="61">
        <v>41878</v>
      </c>
      <c r="D60" s="36">
        <v>41877</v>
      </c>
      <c r="E60" s="73" t="s">
        <v>147</v>
      </c>
      <c r="F60" s="37" t="s">
        <v>148</v>
      </c>
      <c r="G60" s="37" t="s">
        <v>149</v>
      </c>
      <c r="H60" s="37" t="s">
        <v>150</v>
      </c>
      <c r="I60" s="21">
        <v>1</v>
      </c>
      <c r="K60" s="20" t="s">
        <v>151</v>
      </c>
      <c r="L60" s="17">
        <f>IF(N60&lt;1024,N60,IF(N60&lt;1024^2,N60/1024,IF(N60&lt;1024^3,N60/1024^2,N60/1024^3)))</f>
        <v>0</v>
      </c>
      <c r="M60" s="18"/>
      <c r="N60" s="21"/>
    </row>
    <row r="61" spans="1:14" s="32" customFormat="1" ht="15" customHeight="1" x14ac:dyDescent="0.2">
      <c r="A61" s="38"/>
      <c r="B61" s="65"/>
      <c r="C61" s="65"/>
      <c r="D61" s="39">
        <v>41878</v>
      </c>
      <c r="E61" s="75"/>
      <c r="F61" s="32" t="s">
        <v>152</v>
      </c>
      <c r="G61" s="35" t="s">
        <v>153</v>
      </c>
      <c r="H61" s="35" t="s">
        <v>154</v>
      </c>
      <c r="I61" s="38">
        <v>2</v>
      </c>
      <c r="K61" s="32" t="s">
        <v>155</v>
      </c>
      <c r="L61" s="40">
        <f>IF(N61&lt;1024,N61,IF(N61&lt;1024^2,N61/1024,IF(N61&lt;1024^3,N61/1024^2,N61/1024^3)))</f>
        <v>0</v>
      </c>
      <c r="M61" s="41"/>
      <c r="N61" s="38"/>
    </row>
    <row r="62" spans="1:14" ht="15" customHeight="1" x14ac:dyDescent="0.2">
      <c r="A62" s="63">
        <v>17</v>
      </c>
      <c r="B62" s="67">
        <v>41904</v>
      </c>
      <c r="C62" s="67"/>
      <c r="E62" s="74" t="s">
        <v>156</v>
      </c>
      <c r="F62" s="2" t="s">
        <v>152</v>
      </c>
      <c r="G62" s="2" t="s">
        <v>157</v>
      </c>
      <c r="H62" s="4" t="s">
        <v>158</v>
      </c>
      <c r="K62" s="7" t="s">
        <v>159</v>
      </c>
      <c r="L62" s="79">
        <f>IF(N62&lt;1024,N62,IF(N62&lt;1024^2,N62/1024,IF(N62&lt;1024^3,N62/1024^2,N62/1024^3)))</f>
        <v>1.5985477771610022</v>
      </c>
      <c r="M62" s="74" t="str">
        <f>IF(N62&lt;1024,"B",IF(N62&lt;1024^2,"KB",IF(N62&lt;1024^3,"MB","GB")))</f>
        <v>GB</v>
      </c>
      <c r="N62" s="62">
        <v>1716427606</v>
      </c>
    </row>
    <row r="63" spans="1:14" ht="15" customHeight="1" x14ac:dyDescent="0.2">
      <c r="A63" s="63"/>
      <c r="B63" s="67"/>
      <c r="C63" s="67"/>
      <c r="E63" s="74"/>
      <c r="F63" s="2"/>
      <c r="G63" s="2"/>
      <c r="H63" s="4" t="s">
        <v>160</v>
      </c>
      <c r="K63" s="7" t="s">
        <v>161</v>
      </c>
      <c r="L63" s="79"/>
      <c r="M63" s="74"/>
      <c r="N63" s="64"/>
    </row>
    <row r="64" spans="1:14" s="27" customFormat="1" ht="15" customHeight="1" x14ac:dyDescent="0.2">
      <c r="A64" s="23">
        <v>18</v>
      </c>
      <c r="B64" s="24">
        <v>41992</v>
      </c>
      <c r="C64" s="24">
        <v>41994</v>
      </c>
      <c r="D64" s="24"/>
      <c r="E64" s="26" t="s">
        <v>156</v>
      </c>
      <c r="F64" s="27" t="s">
        <v>162</v>
      </c>
      <c r="G64" s="27" t="s">
        <v>163</v>
      </c>
      <c r="H64" s="27" t="s">
        <v>164</v>
      </c>
      <c r="I64" s="23"/>
      <c r="K64" s="47" t="s">
        <v>165</v>
      </c>
      <c r="L64" s="25">
        <f>IF(N64&lt;1024,N64,IF(N64&lt;1024^2,N64/1024,IF(N64&lt;1024^3,N64/1024^2,N64/1024^3)))</f>
        <v>0</v>
      </c>
      <c r="M64" s="26" t="str">
        <f>IF(N64&lt;1024,"B",IF(N64&lt;1024^2,"KB",IF(N64&lt;1024^3,"MB","GB")))</f>
        <v>B</v>
      </c>
      <c r="N64" s="23"/>
    </row>
    <row r="65" spans="1:14" ht="15" customHeight="1" x14ac:dyDescent="0.2">
      <c r="A65" s="9">
        <v>19</v>
      </c>
      <c r="B65" s="67">
        <v>42056</v>
      </c>
      <c r="C65" s="67"/>
      <c r="E65" s="6" t="s">
        <v>156</v>
      </c>
      <c r="F65" s="7" t="s">
        <v>152</v>
      </c>
      <c r="G65" s="7" t="s">
        <v>157</v>
      </c>
      <c r="H65" s="4" t="s">
        <v>160</v>
      </c>
      <c r="K65" s="7" t="s">
        <v>161</v>
      </c>
      <c r="L65" s="11">
        <f>IF(N65&lt;1024,N65,IF(N65&lt;1024^2,N65/1024,IF(N65&lt;1024^3,N65/1024^2,N65/1024^3)))</f>
        <v>0</v>
      </c>
      <c r="M65" s="6" t="str">
        <f>IF(N65&lt;1024,"B",IF(N65&lt;1024^2,"KB",IF(N65&lt;1024^3,"MB","GB")))</f>
        <v>B</v>
      </c>
    </row>
    <row r="66" spans="1:14" s="20" customFormat="1" ht="15" customHeight="1" x14ac:dyDescent="0.2">
      <c r="A66" s="62">
        <v>20</v>
      </c>
      <c r="B66" s="61">
        <v>42123</v>
      </c>
      <c r="C66" s="61">
        <v>42132</v>
      </c>
      <c r="D66" s="16">
        <v>42123</v>
      </c>
      <c r="E66" s="73" t="s">
        <v>156</v>
      </c>
      <c r="F66" s="1" t="s">
        <v>162</v>
      </c>
      <c r="G66" s="20" t="s">
        <v>166</v>
      </c>
      <c r="H66" s="34" t="s">
        <v>167</v>
      </c>
      <c r="I66" s="21">
        <v>1</v>
      </c>
      <c r="K66" s="20" t="s">
        <v>168</v>
      </c>
      <c r="L66" s="82">
        <f>IF(N66&lt;1024,N66,IF(N66&lt;1024^2,N66/1024,IF(N66&lt;1024^3,N66/1024^2,N66/1024^3)))</f>
        <v>6.8095097998157144</v>
      </c>
      <c r="M66" s="73" t="str">
        <f>IF(N66&lt;1024,"B",IF(N66&lt;1024^2,"KB",IF(N66&lt;1024^3,"MB","GB")))</f>
        <v>GB</v>
      </c>
      <c r="N66" s="62">
        <v>7311655473</v>
      </c>
    </row>
    <row r="67" spans="1:14" ht="15" customHeight="1" x14ac:dyDescent="0.2">
      <c r="A67" s="63"/>
      <c r="B67" s="3"/>
      <c r="C67" s="3"/>
      <c r="D67" s="3">
        <v>42126</v>
      </c>
      <c r="E67" s="74"/>
      <c r="F67" s="2"/>
      <c r="G67" s="7" t="s">
        <v>169</v>
      </c>
      <c r="K67" s="4" t="s">
        <v>170</v>
      </c>
      <c r="L67" s="79"/>
      <c r="M67" s="74"/>
      <c r="N67" s="63"/>
    </row>
    <row r="68" spans="1:14" ht="15" customHeight="1" x14ac:dyDescent="0.2">
      <c r="A68" s="63"/>
      <c r="B68" s="3"/>
      <c r="C68" s="3"/>
      <c r="D68" s="3"/>
      <c r="E68" s="74"/>
      <c r="F68" s="2"/>
      <c r="G68" s="5" t="s">
        <v>171</v>
      </c>
      <c r="H68" s="5" t="s">
        <v>172</v>
      </c>
      <c r="K68" s="7" t="s">
        <v>173</v>
      </c>
      <c r="L68" s="79"/>
      <c r="M68" s="74"/>
      <c r="N68" s="63"/>
    </row>
    <row r="69" spans="1:14" ht="15" customHeight="1" x14ac:dyDescent="0.2">
      <c r="A69" s="63"/>
      <c r="B69" s="3"/>
      <c r="C69" s="3"/>
      <c r="D69" s="3">
        <v>42127</v>
      </c>
      <c r="E69" s="74"/>
      <c r="F69" s="2"/>
      <c r="G69" s="7" t="s">
        <v>174</v>
      </c>
      <c r="K69" s="4" t="s">
        <v>175</v>
      </c>
      <c r="L69" s="79"/>
      <c r="M69" s="74"/>
      <c r="N69" s="63"/>
    </row>
    <row r="70" spans="1:14" ht="15" customHeight="1" x14ac:dyDescent="0.2">
      <c r="A70" s="63"/>
      <c r="B70" s="3"/>
      <c r="C70" s="3"/>
      <c r="D70" s="3"/>
      <c r="E70" s="74"/>
      <c r="F70" s="2"/>
      <c r="G70" s="2" t="s">
        <v>176</v>
      </c>
      <c r="K70" s="4" t="s">
        <v>177</v>
      </c>
      <c r="L70" s="79"/>
      <c r="M70" s="74"/>
      <c r="N70" s="63"/>
    </row>
    <row r="71" spans="1:14" ht="15" customHeight="1" x14ac:dyDescent="0.2">
      <c r="A71" s="63"/>
      <c r="B71" s="3"/>
      <c r="C71" s="3"/>
      <c r="D71" s="72">
        <v>42128</v>
      </c>
      <c r="E71" s="74"/>
      <c r="F71" s="2"/>
      <c r="G71" s="2"/>
      <c r="J71" s="7">
        <v>1</v>
      </c>
      <c r="K71" s="4" t="s">
        <v>178</v>
      </c>
      <c r="L71" s="79"/>
      <c r="M71" s="74"/>
      <c r="N71" s="63"/>
    </row>
    <row r="72" spans="1:14" ht="15" customHeight="1" x14ac:dyDescent="0.2">
      <c r="A72" s="63"/>
      <c r="B72" s="3"/>
      <c r="C72" s="3"/>
      <c r="D72" s="72"/>
      <c r="E72" s="74"/>
      <c r="F72" s="2"/>
      <c r="G72" s="5" t="s">
        <v>179</v>
      </c>
      <c r="H72" s="5" t="s">
        <v>180</v>
      </c>
      <c r="K72" s="7" t="s">
        <v>173</v>
      </c>
      <c r="L72" s="79"/>
      <c r="M72" s="74"/>
      <c r="N72" s="63"/>
    </row>
    <row r="73" spans="1:14" ht="15" customHeight="1" x14ac:dyDescent="0.2">
      <c r="A73" s="63"/>
      <c r="B73" s="3"/>
      <c r="C73" s="3"/>
      <c r="D73" s="10">
        <v>42129</v>
      </c>
      <c r="E73" s="74"/>
      <c r="F73" s="2"/>
      <c r="G73" s="7" t="s">
        <v>169</v>
      </c>
      <c r="H73" s="4" t="s">
        <v>181</v>
      </c>
      <c r="K73" s="7" t="s">
        <v>182</v>
      </c>
      <c r="L73" s="79"/>
      <c r="M73" s="74"/>
      <c r="N73" s="63"/>
    </row>
    <row r="74" spans="1:14" ht="15" customHeight="1" x14ac:dyDescent="0.2">
      <c r="A74" s="63"/>
      <c r="B74" s="3"/>
      <c r="C74" s="3"/>
      <c r="D74" s="10">
        <v>42130</v>
      </c>
      <c r="E74" s="74"/>
      <c r="F74" s="2"/>
      <c r="G74" s="7" t="s">
        <v>183</v>
      </c>
      <c r="H74" s="4" t="s">
        <v>184</v>
      </c>
      <c r="K74" s="7" t="s">
        <v>159</v>
      </c>
      <c r="L74" s="79"/>
      <c r="M74" s="74"/>
      <c r="N74" s="63"/>
    </row>
    <row r="75" spans="1:14" s="32" customFormat="1" ht="15" customHeight="1" x14ac:dyDescent="0.2">
      <c r="A75" s="64"/>
      <c r="B75" s="65"/>
      <c r="C75" s="65"/>
      <c r="D75" s="31">
        <v>42131</v>
      </c>
      <c r="E75" s="75"/>
      <c r="F75" s="69"/>
      <c r="G75" s="32" t="s">
        <v>185</v>
      </c>
      <c r="I75" s="38">
        <v>1</v>
      </c>
      <c r="J75" s="32">
        <v>1</v>
      </c>
      <c r="K75" s="33" t="s">
        <v>186</v>
      </c>
      <c r="L75" s="87"/>
      <c r="M75" s="75"/>
      <c r="N75" s="64"/>
    </row>
    <row r="76" spans="1:14" ht="15" customHeight="1" x14ac:dyDescent="0.2">
      <c r="A76" s="63">
        <v>21</v>
      </c>
      <c r="B76" s="3">
        <v>42238</v>
      </c>
      <c r="C76" s="3">
        <v>42244</v>
      </c>
      <c r="D76" s="3">
        <v>42238</v>
      </c>
      <c r="E76" s="74" t="s">
        <v>156</v>
      </c>
      <c r="F76" s="2" t="s">
        <v>152</v>
      </c>
      <c r="G76" s="2" t="s">
        <v>157</v>
      </c>
      <c r="H76" s="4" t="s">
        <v>187</v>
      </c>
      <c r="K76" s="7" t="s">
        <v>159</v>
      </c>
      <c r="L76" s="79">
        <f>IF(N76&lt;1024,N76,IF(N76&lt;1024^2,N76/1024,IF(N76&lt;1024^3,N76/1024^2,N76/1024^3)))</f>
        <v>13.609294895082712</v>
      </c>
      <c r="M76" s="74" t="str">
        <f>IF(N76&lt;1024,"B",IF(N76&lt;1024^2,"KB",IF(N76&lt;1024^3,"MB","GB")))</f>
        <v>GB</v>
      </c>
      <c r="N76" s="62">
        <v>14612869124</v>
      </c>
    </row>
    <row r="77" spans="1:14" ht="15" customHeight="1" x14ac:dyDescent="0.2">
      <c r="A77" s="63"/>
      <c r="B77" s="3"/>
      <c r="C77" s="3"/>
      <c r="D77" s="3"/>
      <c r="E77" s="74"/>
      <c r="F77" s="2"/>
      <c r="G77" s="2"/>
      <c r="H77" s="4" t="s">
        <v>188</v>
      </c>
      <c r="K77" s="7" t="s">
        <v>189</v>
      </c>
      <c r="L77" s="79"/>
      <c r="M77" s="74"/>
      <c r="N77" s="63"/>
    </row>
    <row r="78" spans="1:14" ht="15" customHeight="1" x14ac:dyDescent="0.2">
      <c r="A78" s="63"/>
      <c r="B78" s="3"/>
      <c r="C78" s="3"/>
      <c r="D78" s="3">
        <v>42239</v>
      </c>
      <c r="E78" s="74"/>
      <c r="F78" s="2"/>
      <c r="G78" s="5" t="s">
        <v>190</v>
      </c>
      <c r="H78" s="5" t="s">
        <v>191</v>
      </c>
      <c r="K78" s="7" t="s">
        <v>192</v>
      </c>
      <c r="L78" s="79"/>
      <c r="M78" s="74"/>
      <c r="N78" s="63"/>
    </row>
    <row r="79" spans="1:14" ht="15" customHeight="1" x14ac:dyDescent="0.2">
      <c r="A79" s="63"/>
      <c r="B79" s="3"/>
      <c r="C79" s="3"/>
      <c r="D79" s="3"/>
      <c r="E79" s="74"/>
      <c r="F79" s="2"/>
      <c r="G79" s="7" t="s">
        <v>193</v>
      </c>
      <c r="H79" s="4" t="s">
        <v>194</v>
      </c>
      <c r="K79" s="7" t="s">
        <v>195</v>
      </c>
      <c r="L79" s="79"/>
      <c r="M79" s="74"/>
      <c r="N79" s="63"/>
    </row>
    <row r="80" spans="1:14" ht="15" customHeight="1" x14ac:dyDescent="0.2">
      <c r="A80" s="63"/>
      <c r="B80" s="3"/>
      <c r="C80" s="3"/>
      <c r="D80" s="10">
        <v>42240</v>
      </c>
      <c r="E80" s="74"/>
      <c r="F80" s="2"/>
      <c r="G80" s="7" t="s">
        <v>196</v>
      </c>
      <c r="H80" s="4" t="s">
        <v>197</v>
      </c>
      <c r="K80" s="7" t="s">
        <v>198</v>
      </c>
      <c r="L80" s="79"/>
      <c r="M80" s="74"/>
      <c r="N80" s="63"/>
    </row>
    <row r="81" spans="1:14" ht="15" customHeight="1" x14ac:dyDescent="0.2">
      <c r="A81" s="63"/>
      <c r="B81" s="3"/>
      <c r="C81" s="3"/>
      <c r="D81" s="10">
        <v>42241</v>
      </c>
      <c r="E81" s="74"/>
      <c r="F81" s="2"/>
      <c r="G81" s="4" t="s">
        <v>199</v>
      </c>
      <c r="K81" s="7" t="s">
        <v>200</v>
      </c>
      <c r="L81" s="79"/>
      <c r="M81" s="74"/>
      <c r="N81" s="63"/>
    </row>
    <row r="82" spans="1:14" ht="15" customHeight="1" x14ac:dyDescent="0.2">
      <c r="A82" s="63"/>
      <c r="B82" s="3"/>
      <c r="C82" s="3"/>
      <c r="D82" s="3">
        <v>42242</v>
      </c>
      <c r="E82" s="74"/>
      <c r="F82" s="2"/>
      <c r="G82" s="2" t="s">
        <v>193</v>
      </c>
      <c r="H82" s="7" t="s">
        <v>201</v>
      </c>
      <c r="K82" s="4" t="s">
        <v>202</v>
      </c>
      <c r="L82" s="79"/>
      <c r="M82" s="74"/>
      <c r="N82" s="63"/>
    </row>
    <row r="83" spans="1:14" ht="15" customHeight="1" x14ac:dyDescent="0.2">
      <c r="A83" s="63"/>
      <c r="B83" s="3"/>
      <c r="C83" s="3"/>
      <c r="D83" s="3"/>
      <c r="E83" s="74"/>
      <c r="F83" s="2"/>
      <c r="G83" s="2"/>
      <c r="H83" s="7" t="s">
        <v>203</v>
      </c>
      <c r="K83" s="4" t="s">
        <v>204</v>
      </c>
      <c r="L83" s="79"/>
      <c r="M83" s="74"/>
      <c r="N83" s="63"/>
    </row>
    <row r="84" spans="1:14" ht="15" customHeight="1" x14ac:dyDescent="0.2">
      <c r="A84" s="63"/>
      <c r="B84" s="3"/>
      <c r="C84" s="3"/>
      <c r="D84" s="3">
        <v>42243</v>
      </c>
      <c r="E84" s="74"/>
      <c r="F84" s="2"/>
      <c r="G84" s="2"/>
      <c r="H84" s="7" t="s">
        <v>205</v>
      </c>
      <c r="K84" s="4" t="s">
        <v>206</v>
      </c>
      <c r="L84" s="79"/>
      <c r="M84" s="74"/>
      <c r="N84" s="63"/>
    </row>
    <row r="85" spans="1:14" ht="15" customHeight="1" x14ac:dyDescent="0.2">
      <c r="A85" s="63"/>
      <c r="B85" s="3"/>
      <c r="C85" s="3"/>
      <c r="D85" s="3"/>
      <c r="E85" s="74"/>
      <c r="F85" s="2"/>
      <c r="G85" s="2" t="s">
        <v>190</v>
      </c>
      <c r="H85" s="4" t="s">
        <v>207</v>
      </c>
      <c r="J85" s="7">
        <v>1</v>
      </c>
      <c r="K85" s="7" t="s">
        <v>208</v>
      </c>
      <c r="L85" s="79"/>
      <c r="M85" s="74"/>
      <c r="N85" s="63"/>
    </row>
    <row r="86" spans="1:14" ht="15" customHeight="1" x14ac:dyDescent="0.2">
      <c r="A86" s="63"/>
      <c r="B86" s="3"/>
      <c r="C86" s="3"/>
      <c r="D86" s="10">
        <v>42244</v>
      </c>
      <c r="E86" s="74"/>
      <c r="F86" s="2"/>
      <c r="G86" s="2"/>
      <c r="H86" s="4" t="s">
        <v>209</v>
      </c>
      <c r="K86" s="7" t="s">
        <v>210</v>
      </c>
      <c r="L86" s="79"/>
      <c r="M86" s="74"/>
      <c r="N86" s="64"/>
    </row>
    <row r="87" spans="1:14" s="27" customFormat="1" ht="15" customHeight="1" x14ac:dyDescent="0.2">
      <c r="A87" s="23">
        <v>22</v>
      </c>
      <c r="B87" s="70">
        <v>42497</v>
      </c>
      <c r="C87" s="70"/>
      <c r="D87" s="24"/>
      <c r="E87" s="26" t="s">
        <v>156</v>
      </c>
      <c r="F87" s="27" t="s">
        <v>152</v>
      </c>
      <c r="G87" s="27" t="s">
        <v>157</v>
      </c>
      <c r="H87" s="28" t="s">
        <v>188</v>
      </c>
      <c r="I87" s="23"/>
      <c r="J87" s="27">
        <v>1</v>
      </c>
      <c r="K87" s="27" t="s">
        <v>211</v>
      </c>
      <c r="L87" s="25">
        <f>IF(N87&lt;1024,N87,IF(N87&lt;1024^2,N87/1024,IF(N87&lt;1024^3,N87/1024^2,N87/1024^3)))</f>
        <v>643.30663204193115</v>
      </c>
      <c r="M87" s="26" t="str">
        <f>IF(N87&lt;1024,"B",IF(N87&lt;1024^2,"KB",IF(N87&lt;1024^3,"MB","GB")))</f>
        <v>MB</v>
      </c>
      <c r="N87" s="23">
        <v>674555895</v>
      </c>
    </row>
    <row r="88" spans="1:14" ht="15" customHeight="1" x14ac:dyDescent="0.2">
      <c r="B88" s="14">
        <v>42499</v>
      </c>
      <c r="C88" s="14">
        <v>42500</v>
      </c>
      <c r="E88" s="6" t="s">
        <v>212</v>
      </c>
      <c r="F88" s="91"/>
      <c r="G88" s="91"/>
      <c r="H88" s="91"/>
      <c r="I88" s="9">
        <v>1</v>
      </c>
      <c r="K88" s="7" t="s">
        <v>213</v>
      </c>
    </row>
    <row r="89" spans="1:14" s="27" customFormat="1" ht="15" customHeight="1" x14ac:dyDescent="0.2">
      <c r="A89" s="23"/>
      <c r="B89" s="70">
        <v>42517</v>
      </c>
      <c r="C89" s="70"/>
      <c r="D89" s="24"/>
      <c r="E89" s="26" t="s">
        <v>14</v>
      </c>
      <c r="F89" s="27" t="s">
        <v>15</v>
      </c>
      <c r="G89" s="27" t="s">
        <v>214</v>
      </c>
      <c r="I89" s="23"/>
      <c r="J89" s="27">
        <v>1</v>
      </c>
      <c r="K89" s="27" t="s">
        <v>215</v>
      </c>
      <c r="L89" s="25">
        <f>IF(N89&lt;1024,N89,IF(N89&lt;1024^2,N89/1024,IF(N89&lt;1024^3,N89/1024^2,N89/1024^3)))</f>
        <v>439.24466800689697</v>
      </c>
      <c r="M89" s="26" t="str">
        <f>IF(N89&lt;1024,"B",IF(N89&lt;1024^2,"KB",IF(N89&lt;1024^3,"MB","GB")))</f>
        <v>MB</v>
      </c>
      <c r="N89" s="23">
        <v>460581417</v>
      </c>
    </row>
    <row r="90" spans="1:14" ht="15" customHeight="1" x14ac:dyDescent="0.2">
      <c r="A90" s="9">
        <v>23</v>
      </c>
      <c r="B90" s="67">
        <v>42525</v>
      </c>
      <c r="C90" s="67"/>
      <c r="E90" s="6" t="s">
        <v>14</v>
      </c>
      <c r="F90" s="7" t="s">
        <v>15</v>
      </c>
      <c r="G90" s="7" t="s">
        <v>16</v>
      </c>
      <c r="H90" s="7" t="s">
        <v>31</v>
      </c>
      <c r="K90" s="4" t="s">
        <v>216</v>
      </c>
      <c r="L90" s="11">
        <f>IF(N90&lt;1024,N90,IF(N90&lt;1024^2,N90/1024,IF(N90&lt;1024^3,N90/1024^2,N90/1024^3)))</f>
        <v>421.87414455413818</v>
      </c>
      <c r="M90" s="6" t="str">
        <f>IF(N90&lt;1024,"B",IF(N90&lt;1024^2,"KB",IF(N90&lt;1024^3,"MB","GB")))</f>
        <v>MB</v>
      </c>
      <c r="N90" s="9">
        <v>442367103</v>
      </c>
    </row>
    <row r="91" spans="1:14" s="20" customFormat="1" ht="15" customHeight="1" x14ac:dyDescent="0.2">
      <c r="A91" s="62">
        <v>24</v>
      </c>
      <c r="B91" s="71">
        <v>42538</v>
      </c>
      <c r="C91" s="71">
        <v>42540</v>
      </c>
      <c r="D91" s="16">
        <v>42538</v>
      </c>
      <c r="E91" s="73" t="s">
        <v>14</v>
      </c>
      <c r="F91" s="1" t="s">
        <v>15</v>
      </c>
      <c r="G91" s="1" t="s">
        <v>35</v>
      </c>
      <c r="H91" s="34" t="s">
        <v>217</v>
      </c>
      <c r="I91" s="21"/>
      <c r="J91" s="20">
        <v>1</v>
      </c>
      <c r="K91" s="20" t="s">
        <v>218</v>
      </c>
      <c r="L91" s="82">
        <f>IF(N91&lt;1024,N91,IF(N91&lt;1024^2,N91/1024,IF(N91&lt;1024^3,N91/1024^2,N91/1024^3)))</f>
        <v>1.1002472713589668</v>
      </c>
      <c r="M91" s="73" t="str">
        <f>IF(N91&lt;1024,"B",IF(N91&lt;1024^2,"KB",IF(N91&lt;1024^3,"MB","GB")))</f>
        <v>GB</v>
      </c>
      <c r="N91" s="62">
        <v>1181381512</v>
      </c>
    </row>
    <row r="92" spans="1:14" ht="15" customHeight="1" x14ac:dyDescent="0.2">
      <c r="A92" s="63"/>
      <c r="B92" s="72"/>
      <c r="C92" s="72"/>
      <c r="D92" s="10">
        <v>42539</v>
      </c>
      <c r="E92" s="74"/>
      <c r="F92" s="2"/>
      <c r="G92" s="2"/>
      <c r="H92" s="4" t="s">
        <v>219</v>
      </c>
      <c r="K92" s="7" t="s">
        <v>220</v>
      </c>
      <c r="L92" s="79"/>
      <c r="M92" s="74"/>
      <c r="N92" s="63"/>
    </row>
    <row r="93" spans="1:14" s="32" customFormat="1" ht="15" customHeight="1" x14ac:dyDescent="0.2">
      <c r="A93" s="64"/>
      <c r="B93" s="78"/>
      <c r="C93" s="78"/>
      <c r="D93" s="31">
        <v>42540</v>
      </c>
      <c r="E93" s="75"/>
      <c r="F93" s="69"/>
      <c r="G93" s="69"/>
      <c r="H93" s="42" t="s">
        <v>221</v>
      </c>
      <c r="I93" s="57">
        <v>1</v>
      </c>
      <c r="J93" s="32">
        <v>1</v>
      </c>
      <c r="K93" s="48" t="s">
        <v>222</v>
      </c>
      <c r="L93" s="87"/>
      <c r="M93" s="75"/>
      <c r="N93" s="64"/>
    </row>
    <row r="94" spans="1:14" ht="15" customHeight="1" x14ac:dyDescent="0.2">
      <c r="A94" s="63">
        <v>25</v>
      </c>
      <c r="B94" s="3">
        <v>42565</v>
      </c>
      <c r="C94" s="3">
        <v>42573</v>
      </c>
      <c r="D94" s="10">
        <v>42566</v>
      </c>
      <c r="E94" s="74" t="s">
        <v>14</v>
      </c>
      <c r="F94" s="2" t="s">
        <v>15</v>
      </c>
      <c r="G94" s="2" t="s">
        <v>223</v>
      </c>
      <c r="H94" s="4" t="s">
        <v>224</v>
      </c>
      <c r="K94" s="7" t="s">
        <v>225</v>
      </c>
      <c r="L94" s="79">
        <f>IF(N94&lt;1024,N94,IF(N94&lt;1024^2,N94/1024,IF(N94&lt;1024^3,N94/1024^2,N94/1024^3)))</f>
        <v>5.7816264182329178</v>
      </c>
      <c r="M94" s="74" t="str">
        <f>IF(N94&lt;1024,"B",IF(N94&lt;1024^2,"KB",IF(N94&lt;1024^3,"MB","GB")))</f>
        <v>GB</v>
      </c>
      <c r="N94" s="62">
        <v>6207974096</v>
      </c>
    </row>
    <row r="95" spans="1:14" ht="15" customHeight="1" x14ac:dyDescent="0.2">
      <c r="A95" s="63"/>
      <c r="B95" s="3"/>
      <c r="C95" s="3"/>
      <c r="D95" s="10">
        <v>42567</v>
      </c>
      <c r="E95" s="74"/>
      <c r="F95" s="2"/>
      <c r="G95" s="2"/>
      <c r="H95" s="4" t="s">
        <v>226</v>
      </c>
      <c r="K95" s="7" t="s">
        <v>227</v>
      </c>
      <c r="L95" s="79"/>
      <c r="M95" s="74"/>
      <c r="N95" s="63"/>
    </row>
    <row r="96" spans="1:14" ht="15" customHeight="1" x14ac:dyDescent="0.2">
      <c r="A96" s="63"/>
      <c r="B96" s="3"/>
      <c r="C96" s="3"/>
      <c r="D96" s="3">
        <v>42568</v>
      </c>
      <c r="E96" s="74"/>
      <c r="F96" s="2"/>
      <c r="G96" s="7" t="s">
        <v>86</v>
      </c>
      <c r="H96" s="4" t="s">
        <v>228</v>
      </c>
      <c r="K96" s="7" t="s">
        <v>229</v>
      </c>
      <c r="L96" s="79"/>
      <c r="M96" s="74"/>
      <c r="N96" s="63"/>
    </row>
    <row r="97" spans="1:14" ht="15" customHeight="1" x14ac:dyDescent="0.2">
      <c r="A97" s="63"/>
      <c r="B97" s="3"/>
      <c r="C97" s="3"/>
      <c r="D97" s="3"/>
      <c r="E97" s="74"/>
      <c r="F97" s="2"/>
      <c r="G97" s="2" t="s">
        <v>223</v>
      </c>
      <c r="H97" s="81" t="s">
        <v>230</v>
      </c>
      <c r="K97" s="7" t="s">
        <v>231</v>
      </c>
      <c r="L97" s="79"/>
      <c r="M97" s="74"/>
      <c r="N97" s="63"/>
    </row>
    <row r="98" spans="1:14" ht="15" customHeight="1" x14ac:dyDescent="0.2">
      <c r="A98" s="63"/>
      <c r="B98" s="3"/>
      <c r="C98" s="3"/>
      <c r="D98" s="10">
        <v>42569</v>
      </c>
      <c r="E98" s="74"/>
      <c r="F98" s="2"/>
      <c r="G98" s="2"/>
      <c r="H98" s="81"/>
      <c r="J98" s="7">
        <v>2</v>
      </c>
      <c r="K98" s="7" t="s">
        <v>232</v>
      </c>
      <c r="L98" s="79"/>
      <c r="M98" s="74"/>
      <c r="N98" s="63"/>
    </row>
    <row r="99" spans="1:14" ht="15" customHeight="1" x14ac:dyDescent="0.2">
      <c r="A99" s="63"/>
      <c r="B99" s="3"/>
      <c r="C99" s="3"/>
      <c r="D99" s="10">
        <v>42570</v>
      </c>
      <c r="E99" s="74"/>
      <c r="F99" s="2"/>
      <c r="G99" s="2"/>
      <c r="H99" s="4" t="s">
        <v>224</v>
      </c>
      <c r="K99" s="7" t="s">
        <v>159</v>
      </c>
      <c r="L99" s="79"/>
      <c r="M99" s="74"/>
      <c r="N99" s="63"/>
    </row>
    <row r="100" spans="1:14" ht="15" customHeight="1" x14ac:dyDescent="0.2">
      <c r="A100" s="63"/>
      <c r="B100" s="3"/>
      <c r="C100" s="3"/>
      <c r="D100" s="10">
        <v>42571</v>
      </c>
      <c r="E100" s="74"/>
      <c r="F100" s="2"/>
      <c r="G100" s="2" t="s">
        <v>233</v>
      </c>
      <c r="H100" s="81" t="s">
        <v>234</v>
      </c>
      <c r="K100" s="7" t="s">
        <v>235</v>
      </c>
      <c r="L100" s="79"/>
      <c r="M100" s="74"/>
      <c r="N100" s="63"/>
    </row>
    <row r="101" spans="1:14" ht="15" customHeight="1" x14ac:dyDescent="0.2">
      <c r="A101" s="63"/>
      <c r="B101" s="3"/>
      <c r="C101" s="3"/>
      <c r="D101" s="10">
        <v>42572</v>
      </c>
      <c r="E101" s="74"/>
      <c r="F101" s="2"/>
      <c r="G101" s="2"/>
      <c r="H101" s="81"/>
      <c r="K101" s="7" t="s">
        <v>236</v>
      </c>
      <c r="L101" s="79"/>
      <c r="M101" s="74"/>
      <c r="N101" s="64"/>
    </row>
    <row r="102" spans="1:14" s="27" customFormat="1" ht="15" customHeight="1" x14ac:dyDescent="0.2">
      <c r="A102" s="23"/>
      <c r="B102" s="70">
        <v>42621</v>
      </c>
      <c r="C102" s="70"/>
      <c r="D102" s="24"/>
      <c r="E102" s="43" t="s">
        <v>147</v>
      </c>
      <c r="F102" s="90"/>
      <c r="G102" s="90"/>
      <c r="H102" s="90"/>
      <c r="I102" s="23">
        <v>2</v>
      </c>
      <c r="K102" s="27" t="s">
        <v>237</v>
      </c>
      <c r="L102" s="25"/>
      <c r="M102" s="26"/>
      <c r="N102" s="23"/>
    </row>
    <row r="103" spans="1:14" ht="15" customHeight="1" x14ac:dyDescent="0.2">
      <c r="A103" s="63">
        <v>26</v>
      </c>
      <c r="B103" s="3">
        <v>42727</v>
      </c>
      <c r="C103" s="3">
        <v>42732</v>
      </c>
      <c r="D103" s="10">
        <v>42727</v>
      </c>
      <c r="E103" s="74" t="s">
        <v>156</v>
      </c>
      <c r="F103" s="2" t="s">
        <v>238</v>
      </c>
      <c r="G103" s="2" t="s">
        <v>239</v>
      </c>
      <c r="H103" s="4" t="s">
        <v>240</v>
      </c>
      <c r="I103" s="9">
        <v>1</v>
      </c>
      <c r="K103" s="7" t="s">
        <v>159</v>
      </c>
      <c r="L103" s="79">
        <f>IF(N103&lt;1024,N103,IF(N103&lt;1024^2,N103/1024,IF(N103&lt;1024^3,N103/1024^2,N103/1024^3)))</f>
        <v>9.2101677255704999</v>
      </c>
      <c r="M103" s="74" t="str">
        <f>IF(N103&lt;1024,"B",IF(N103&lt;1024^2,"KB",IF(N103&lt;1024^3,"MB","GB")))</f>
        <v>GB</v>
      </c>
      <c r="N103" s="62">
        <v>9889342293</v>
      </c>
    </row>
    <row r="104" spans="1:14" ht="15" customHeight="1" x14ac:dyDescent="0.2">
      <c r="A104" s="63"/>
      <c r="B104" s="3"/>
      <c r="C104" s="3"/>
      <c r="D104" s="10">
        <v>42729</v>
      </c>
      <c r="E104" s="74"/>
      <c r="F104" s="2"/>
      <c r="G104" s="2"/>
      <c r="H104" s="4" t="s">
        <v>241</v>
      </c>
      <c r="K104" s="7" t="s">
        <v>242</v>
      </c>
      <c r="L104" s="79"/>
      <c r="M104" s="74"/>
      <c r="N104" s="63"/>
    </row>
    <row r="105" spans="1:14" ht="15" customHeight="1" x14ac:dyDescent="0.2">
      <c r="A105" s="63"/>
      <c r="B105" s="3"/>
      <c r="C105" s="3"/>
      <c r="D105" s="3">
        <v>42730</v>
      </c>
      <c r="E105" s="74"/>
      <c r="F105" s="2"/>
      <c r="G105" s="7" t="s">
        <v>243</v>
      </c>
      <c r="H105" s="4" t="s">
        <v>244</v>
      </c>
      <c r="J105" s="7">
        <v>1</v>
      </c>
      <c r="K105" s="7" t="s">
        <v>245</v>
      </c>
      <c r="L105" s="79"/>
      <c r="M105" s="74"/>
      <c r="N105" s="63"/>
    </row>
    <row r="106" spans="1:14" ht="15" customHeight="1" x14ac:dyDescent="0.2">
      <c r="A106" s="63"/>
      <c r="B106" s="3"/>
      <c r="C106" s="3"/>
      <c r="D106" s="3"/>
      <c r="E106" s="74"/>
      <c r="F106" s="2"/>
      <c r="G106" s="7" t="s">
        <v>246</v>
      </c>
      <c r="H106" s="4" t="s">
        <v>247</v>
      </c>
      <c r="J106" s="7">
        <v>1</v>
      </c>
      <c r="K106" s="7" t="s">
        <v>248</v>
      </c>
      <c r="L106" s="79"/>
      <c r="M106" s="74"/>
      <c r="N106" s="63"/>
    </row>
    <row r="107" spans="1:14" ht="15" customHeight="1" x14ac:dyDescent="0.2">
      <c r="A107" s="63"/>
      <c r="B107" s="3"/>
      <c r="C107" s="3"/>
      <c r="D107" s="10">
        <v>42731</v>
      </c>
      <c r="E107" s="74"/>
      <c r="F107" s="2"/>
      <c r="G107" s="7" t="s">
        <v>243</v>
      </c>
      <c r="H107" s="4" t="s">
        <v>249</v>
      </c>
      <c r="I107" s="9">
        <v>2</v>
      </c>
      <c r="J107" s="7">
        <v>1</v>
      </c>
      <c r="K107" s="7" t="s">
        <v>250</v>
      </c>
      <c r="L107" s="79"/>
      <c r="M107" s="74"/>
      <c r="N107" s="64"/>
    </row>
    <row r="108" spans="1:14" s="20" customFormat="1" ht="15" customHeight="1" x14ac:dyDescent="0.2">
      <c r="A108" s="62">
        <v>27</v>
      </c>
      <c r="B108" s="61">
        <v>42890</v>
      </c>
      <c r="C108" s="61">
        <v>42896</v>
      </c>
      <c r="D108" s="16">
        <v>42890</v>
      </c>
      <c r="E108" s="73" t="s">
        <v>156</v>
      </c>
      <c r="F108" s="1" t="s">
        <v>152</v>
      </c>
      <c r="G108" s="20" t="s">
        <v>157</v>
      </c>
      <c r="H108" s="34" t="s">
        <v>187</v>
      </c>
      <c r="I108" s="21">
        <v>1</v>
      </c>
      <c r="K108" s="20" t="s">
        <v>251</v>
      </c>
      <c r="L108" s="82">
        <f>IF(N108&lt;1024,N108,IF(N108&lt;1024^2,N108/1024,IF(N108&lt;1024^3,N108/1024^2,N108/1024^3)))</f>
        <v>1.8756507076323032</v>
      </c>
      <c r="M108" s="73" t="str">
        <f>IF(N108&lt;1024,"B",IF(N108&lt;1024^2,"KB",IF(N108&lt;1024^3,"MB","GB")))</f>
        <v>GB</v>
      </c>
      <c r="N108" s="62">
        <v>2013964612</v>
      </c>
    </row>
    <row r="109" spans="1:14" ht="15" customHeight="1" x14ac:dyDescent="0.2">
      <c r="A109" s="63"/>
      <c r="B109" s="3"/>
      <c r="C109" s="3"/>
      <c r="D109" s="14">
        <v>42891</v>
      </c>
      <c r="E109" s="74"/>
      <c r="F109" s="2"/>
      <c r="G109" s="7" t="s">
        <v>153</v>
      </c>
      <c r="H109" s="4" t="s">
        <v>154</v>
      </c>
      <c r="K109" s="4" t="s">
        <v>252</v>
      </c>
      <c r="L109" s="79"/>
      <c r="M109" s="74"/>
      <c r="N109" s="63"/>
    </row>
    <row r="110" spans="1:14" ht="15" customHeight="1" x14ac:dyDescent="0.2">
      <c r="A110" s="63"/>
      <c r="B110" s="3"/>
      <c r="C110" s="3"/>
      <c r="D110" s="14">
        <v>42894</v>
      </c>
      <c r="E110" s="74"/>
      <c r="F110" s="2"/>
      <c r="G110" s="2" t="s">
        <v>253</v>
      </c>
      <c r="H110" s="4" t="s">
        <v>254</v>
      </c>
      <c r="J110" s="7">
        <v>1</v>
      </c>
      <c r="K110" s="4" t="s">
        <v>255</v>
      </c>
      <c r="L110" s="79"/>
      <c r="M110" s="74"/>
      <c r="N110" s="63"/>
    </row>
    <row r="111" spans="1:14" s="32" customFormat="1" ht="15" customHeight="1" x14ac:dyDescent="0.2">
      <c r="A111" s="64"/>
      <c r="B111" s="65"/>
      <c r="C111" s="65"/>
      <c r="D111" s="39">
        <v>42896</v>
      </c>
      <c r="E111" s="75"/>
      <c r="F111" s="69"/>
      <c r="G111" s="69"/>
      <c r="H111" s="35" t="s">
        <v>256</v>
      </c>
      <c r="I111" s="38">
        <v>1</v>
      </c>
      <c r="K111" s="32" t="s">
        <v>257</v>
      </c>
      <c r="L111" s="87"/>
      <c r="M111" s="75"/>
      <c r="N111" s="64"/>
    </row>
    <row r="112" spans="1:14" ht="15" customHeight="1" x14ac:dyDescent="0.2">
      <c r="B112" s="14">
        <v>42900</v>
      </c>
      <c r="C112" s="14">
        <v>42901</v>
      </c>
      <c r="D112" s="14"/>
      <c r="E112" s="13" t="s">
        <v>212</v>
      </c>
      <c r="F112" s="91"/>
      <c r="G112" s="91"/>
      <c r="H112" s="91"/>
      <c r="I112" s="9">
        <v>1</v>
      </c>
      <c r="K112" s="7" t="s">
        <v>213</v>
      </c>
    </row>
    <row r="113" spans="1:14" s="20" customFormat="1" ht="15" customHeight="1" x14ac:dyDescent="0.2">
      <c r="A113" s="62">
        <v>28</v>
      </c>
      <c r="B113" s="61">
        <v>42918</v>
      </c>
      <c r="C113" s="61">
        <v>42923</v>
      </c>
      <c r="D113" s="16">
        <v>42919</v>
      </c>
      <c r="E113" s="73" t="s">
        <v>14</v>
      </c>
      <c r="F113" s="1" t="s">
        <v>15</v>
      </c>
      <c r="G113" s="1" t="s">
        <v>258</v>
      </c>
      <c r="H113" s="83" t="s">
        <v>259</v>
      </c>
      <c r="I113" s="21"/>
      <c r="J113" s="20">
        <v>1</v>
      </c>
      <c r="K113" s="20" t="s">
        <v>260</v>
      </c>
      <c r="L113" s="82">
        <f>IF(N113&lt;1024,N113,IF(N113&lt;1024^2,N113/1024,IF(N113&lt;1024^3,N113/1024^2,N113/1024^3)))</f>
        <v>2.4078450538218021</v>
      </c>
      <c r="M113" s="73" t="str">
        <f>IF(N113&lt;1024,"B",IF(N113&lt;1024^2,"KB",IF(N113&lt;1024^3,"MB","GB")))</f>
        <v>GB</v>
      </c>
      <c r="N113" s="62">
        <v>2585403940</v>
      </c>
    </row>
    <row r="114" spans="1:14" ht="15" customHeight="1" x14ac:dyDescent="0.2">
      <c r="A114" s="63"/>
      <c r="B114" s="3"/>
      <c r="C114" s="3"/>
      <c r="D114" s="10">
        <v>42920</v>
      </c>
      <c r="E114" s="74"/>
      <c r="F114" s="2"/>
      <c r="G114" s="2"/>
      <c r="H114" s="81"/>
      <c r="K114" s="7" t="s">
        <v>261</v>
      </c>
      <c r="L114" s="79"/>
      <c r="M114" s="74"/>
      <c r="N114" s="63"/>
    </row>
    <row r="115" spans="1:14" ht="15" customHeight="1" x14ac:dyDescent="0.2">
      <c r="A115" s="63"/>
      <c r="B115" s="3"/>
      <c r="C115" s="3"/>
      <c r="D115" s="10">
        <v>42921</v>
      </c>
      <c r="E115" s="74"/>
      <c r="F115" s="2"/>
      <c r="G115" s="2"/>
      <c r="H115" s="4" t="s">
        <v>262</v>
      </c>
      <c r="K115" s="7" t="s">
        <v>263</v>
      </c>
      <c r="L115" s="79"/>
      <c r="M115" s="74"/>
      <c r="N115" s="63"/>
    </row>
    <row r="116" spans="1:14" s="32" customFormat="1" ht="15" customHeight="1" x14ac:dyDescent="0.2">
      <c r="A116" s="64"/>
      <c r="B116" s="65"/>
      <c r="C116" s="65"/>
      <c r="D116" s="31">
        <v>42923</v>
      </c>
      <c r="E116" s="75"/>
      <c r="F116" s="69"/>
      <c r="G116" s="69"/>
      <c r="H116" s="33" t="s">
        <v>264</v>
      </c>
      <c r="I116" s="38"/>
      <c r="K116" s="32" t="s">
        <v>265</v>
      </c>
      <c r="L116" s="87"/>
      <c r="M116" s="75"/>
      <c r="N116" s="64"/>
    </row>
    <row r="117" spans="1:14" ht="15" customHeight="1" x14ac:dyDescent="0.2">
      <c r="A117" s="63">
        <v>29</v>
      </c>
      <c r="B117" s="3">
        <v>42940</v>
      </c>
      <c r="C117" s="3">
        <v>42949</v>
      </c>
      <c r="D117" s="10">
        <v>42941</v>
      </c>
      <c r="E117" s="74" t="s">
        <v>14</v>
      </c>
      <c r="F117" s="2" t="s">
        <v>38</v>
      </c>
      <c r="G117" s="4" t="s">
        <v>44</v>
      </c>
      <c r="I117" s="9">
        <v>2</v>
      </c>
      <c r="K117" s="7" t="s">
        <v>266</v>
      </c>
      <c r="L117" s="79">
        <f>IF(N117&lt;1024,N117,IF(N117&lt;1024^2,N117/1024,IF(N117&lt;1024^3,N117/1024^2,N117/1024^3)))</f>
        <v>8.1578746531158686</v>
      </c>
      <c r="M117" s="74" t="str">
        <f>IF(N117&lt;1024,"B",IF(N117&lt;1024^2,"KB",IF(N117&lt;1024^3,"MB","GB")))</f>
        <v>GB</v>
      </c>
      <c r="N117" s="62">
        <v>8759451210</v>
      </c>
    </row>
    <row r="118" spans="1:14" ht="15" customHeight="1" x14ac:dyDescent="0.2">
      <c r="A118" s="63"/>
      <c r="B118" s="3"/>
      <c r="C118" s="3"/>
      <c r="D118" s="3">
        <v>42942</v>
      </c>
      <c r="E118" s="74"/>
      <c r="F118" s="2"/>
      <c r="G118" s="7" t="s">
        <v>267</v>
      </c>
      <c r="H118" s="7" t="s">
        <v>268</v>
      </c>
      <c r="J118" s="7">
        <v>1</v>
      </c>
      <c r="K118" s="4" t="s">
        <v>269</v>
      </c>
      <c r="L118" s="79"/>
      <c r="M118" s="74"/>
      <c r="N118" s="63"/>
    </row>
    <row r="119" spans="1:14" ht="15" customHeight="1" x14ac:dyDescent="0.2">
      <c r="A119" s="63"/>
      <c r="B119" s="3"/>
      <c r="C119" s="3"/>
      <c r="D119" s="3"/>
      <c r="E119" s="74"/>
      <c r="F119" s="2"/>
      <c r="G119" s="2" t="s">
        <v>270</v>
      </c>
      <c r="H119" s="7" t="s">
        <v>271</v>
      </c>
      <c r="K119" s="4" t="s">
        <v>272</v>
      </c>
      <c r="L119" s="79"/>
      <c r="M119" s="74"/>
      <c r="N119" s="63"/>
    </row>
    <row r="120" spans="1:14" ht="15" customHeight="1" x14ac:dyDescent="0.2">
      <c r="A120" s="63"/>
      <c r="B120" s="3"/>
      <c r="C120" s="3"/>
      <c r="D120" s="3"/>
      <c r="E120" s="74"/>
      <c r="F120" s="2"/>
      <c r="G120" s="2"/>
      <c r="H120" s="4" t="s">
        <v>273</v>
      </c>
      <c r="K120" s="7" t="s">
        <v>274</v>
      </c>
      <c r="L120" s="79"/>
      <c r="M120" s="74"/>
      <c r="N120" s="63"/>
    </row>
    <row r="121" spans="1:14" ht="15" customHeight="1" x14ac:dyDescent="0.2">
      <c r="A121" s="63"/>
      <c r="B121" s="3"/>
      <c r="C121" s="3"/>
      <c r="D121" s="3"/>
      <c r="E121" s="74"/>
      <c r="F121" s="2"/>
      <c r="G121" s="2"/>
      <c r="H121" s="4" t="s">
        <v>275</v>
      </c>
      <c r="K121" s="7" t="s">
        <v>276</v>
      </c>
      <c r="L121" s="79"/>
      <c r="M121" s="74"/>
      <c r="N121" s="63"/>
    </row>
    <row r="122" spans="1:14" ht="15" customHeight="1" x14ac:dyDescent="0.2">
      <c r="A122" s="63"/>
      <c r="B122" s="3"/>
      <c r="C122" s="3"/>
      <c r="D122" s="10">
        <v>42943</v>
      </c>
      <c r="E122" s="74"/>
      <c r="F122" s="2"/>
      <c r="G122" s="7" t="s">
        <v>277</v>
      </c>
      <c r="H122" s="4" t="s">
        <v>278</v>
      </c>
      <c r="J122" s="7">
        <v>1</v>
      </c>
      <c r="K122" s="7" t="s">
        <v>279</v>
      </c>
      <c r="L122" s="79"/>
      <c r="M122" s="74"/>
      <c r="N122" s="63"/>
    </row>
    <row r="123" spans="1:14" ht="15" customHeight="1" x14ac:dyDescent="0.2">
      <c r="A123" s="63"/>
      <c r="B123" s="3"/>
      <c r="C123" s="3"/>
      <c r="E123" s="74"/>
      <c r="F123" s="2"/>
      <c r="G123" s="5" t="s">
        <v>70</v>
      </c>
      <c r="H123" s="5" t="s">
        <v>71</v>
      </c>
      <c r="K123" s="7" t="s">
        <v>173</v>
      </c>
      <c r="L123" s="79"/>
      <c r="M123" s="74"/>
      <c r="N123" s="63"/>
    </row>
    <row r="124" spans="1:14" ht="15" customHeight="1" x14ac:dyDescent="0.2">
      <c r="A124" s="63"/>
      <c r="B124" s="3"/>
      <c r="C124" s="3"/>
      <c r="D124" s="3">
        <v>42944</v>
      </c>
      <c r="E124" s="74"/>
      <c r="F124" s="2"/>
      <c r="G124" s="2" t="s">
        <v>65</v>
      </c>
      <c r="H124" s="7" t="s">
        <v>280</v>
      </c>
      <c r="K124" s="4" t="s">
        <v>281</v>
      </c>
      <c r="L124" s="79"/>
      <c r="M124" s="74"/>
      <c r="N124" s="63"/>
    </row>
    <row r="125" spans="1:14" ht="15" customHeight="1" x14ac:dyDescent="0.2">
      <c r="A125" s="63"/>
      <c r="B125" s="3"/>
      <c r="C125" s="3"/>
      <c r="D125" s="3"/>
      <c r="E125" s="74"/>
      <c r="F125" s="2"/>
      <c r="G125" s="2"/>
      <c r="H125" s="4" t="s">
        <v>66</v>
      </c>
      <c r="K125" s="7" t="s">
        <v>67</v>
      </c>
      <c r="L125" s="79"/>
      <c r="M125" s="74"/>
      <c r="N125" s="63"/>
    </row>
    <row r="126" spans="1:14" ht="15" customHeight="1" x14ac:dyDescent="0.2">
      <c r="A126" s="63"/>
      <c r="B126" s="3"/>
      <c r="C126" s="3"/>
      <c r="D126" s="3"/>
      <c r="E126" s="74"/>
      <c r="F126" s="2"/>
      <c r="G126" s="2" t="s">
        <v>282</v>
      </c>
      <c r="H126" s="4" t="s">
        <v>283</v>
      </c>
      <c r="K126" s="7" t="s">
        <v>284</v>
      </c>
      <c r="L126" s="79"/>
      <c r="M126" s="74"/>
      <c r="N126" s="63"/>
    </row>
    <row r="127" spans="1:14" ht="15" customHeight="1" x14ac:dyDescent="0.2">
      <c r="A127" s="63"/>
      <c r="B127" s="3"/>
      <c r="C127" s="3"/>
      <c r="D127" s="3">
        <v>42945</v>
      </c>
      <c r="E127" s="74"/>
      <c r="F127" s="2"/>
      <c r="G127" s="2"/>
      <c r="H127" s="4" t="s">
        <v>285</v>
      </c>
      <c r="J127" s="7">
        <v>1</v>
      </c>
      <c r="K127" s="7" t="s">
        <v>286</v>
      </c>
      <c r="L127" s="79"/>
      <c r="M127" s="74"/>
      <c r="N127" s="63"/>
    </row>
    <row r="128" spans="1:14" ht="15" customHeight="1" x14ac:dyDescent="0.2">
      <c r="A128" s="63"/>
      <c r="B128" s="3"/>
      <c r="C128" s="3"/>
      <c r="D128" s="3"/>
      <c r="E128" s="74"/>
      <c r="F128" s="2"/>
      <c r="G128" s="2"/>
      <c r="H128" s="7" t="s">
        <v>287</v>
      </c>
      <c r="J128" s="7">
        <v>1</v>
      </c>
      <c r="K128" s="4" t="s">
        <v>288</v>
      </c>
      <c r="L128" s="79"/>
      <c r="M128" s="74"/>
      <c r="N128" s="63"/>
    </row>
    <row r="129" spans="1:14" ht="15" customHeight="1" x14ac:dyDescent="0.2">
      <c r="A129" s="63"/>
      <c r="B129" s="3"/>
      <c r="C129" s="3"/>
      <c r="D129" s="3"/>
      <c r="E129" s="74"/>
      <c r="F129" s="2"/>
      <c r="G129" s="2" t="s">
        <v>289</v>
      </c>
      <c r="H129" s="81" t="s">
        <v>290</v>
      </c>
      <c r="K129" s="7" t="s">
        <v>291</v>
      </c>
      <c r="L129" s="79"/>
      <c r="M129" s="74"/>
      <c r="N129" s="63"/>
    </row>
    <row r="130" spans="1:14" ht="15" customHeight="1" x14ac:dyDescent="0.2">
      <c r="A130" s="63"/>
      <c r="B130" s="3"/>
      <c r="C130" s="3"/>
      <c r="D130" s="3">
        <v>42946</v>
      </c>
      <c r="E130" s="74"/>
      <c r="F130" s="2"/>
      <c r="G130" s="2"/>
      <c r="H130" s="81"/>
      <c r="K130" s="7" t="s">
        <v>292</v>
      </c>
      <c r="L130" s="79"/>
      <c r="M130" s="74"/>
      <c r="N130" s="63"/>
    </row>
    <row r="131" spans="1:14" ht="15" customHeight="1" x14ac:dyDescent="0.2">
      <c r="A131" s="63"/>
      <c r="B131" s="3"/>
      <c r="C131" s="3"/>
      <c r="D131" s="3"/>
      <c r="E131" s="74"/>
      <c r="F131" s="2"/>
      <c r="G131" s="2"/>
      <c r="H131" s="4" t="s">
        <v>293</v>
      </c>
      <c r="K131" s="7" t="s">
        <v>294</v>
      </c>
      <c r="L131" s="79"/>
      <c r="M131" s="74"/>
      <c r="N131" s="63"/>
    </row>
    <row r="132" spans="1:14" ht="15" customHeight="1" x14ac:dyDescent="0.2">
      <c r="A132" s="63"/>
      <c r="B132" s="3"/>
      <c r="C132" s="3"/>
      <c r="D132" s="3"/>
      <c r="E132" s="74"/>
      <c r="F132" s="2"/>
      <c r="G132" s="5" t="s">
        <v>295</v>
      </c>
      <c r="H132" s="5" t="s">
        <v>296</v>
      </c>
      <c r="K132" s="7" t="s">
        <v>173</v>
      </c>
      <c r="L132" s="79"/>
      <c r="M132" s="74"/>
      <c r="N132" s="63"/>
    </row>
    <row r="133" spans="1:14" ht="15" customHeight="1" x14ac:dyDescent="0.2">
      <c r="A133" s="63"/>
      <c r="B133" s="3"/>
      <c r="C133" s="3"/>
      <c r="D133" s="3">
        <v>42947</v>
      </c>
      <c r="E133" s="74"/>
      <c r="F133" s="2"/>
      <c r="G133" s="2" t="s">
        <v>297</v>
      </c>
      <c r="H133" s="4" t="s">
        <v>298</v>
      </c>
      <c r="K133" s="7" t="s">
        <v>299</v>
      </c>
      <c r="L133" s="79"/>
      <c r="M133" s="74"/>
      <c r="N133" s="63"/>
    </row>
    <row r="134" spans="1:14" ht="15" customHeight="1" x14ac:dyDescent="0.2">
      <c r="A134" s="63"/>
      <c r="B134" s="3"/>
      <c r="C134" s="3"/>
      <c r="D134" s="3"/>
      <c r="E134" s="74"/>
      <c r="F134" s="2"/>
      <c r="G134" s="2"/>
      <c r="H134" s="4" t="s">
        <v>300</v>
      </c>
      <c r="J134" s="7">
        <v>1</v>
      </c>
      <c r="K134" s="7" t="s">
        <v>301</v>
      </c>
      <c r="L134" s="79"/>
      <c r="M134" s="74"/>
      <c r="N134" s="63"/>
    </row>
    <row r="135" spans="1:14" ht="15" customHeight="1" x14ac:dyDescent="0.2">
      <c r="A135" s="63"/>
      <c r="B135" s="3"/>
      <c r="C135" s="3"/>
      <c r="D135" s="3">
        <v>42948</v>
      </c>
      <c r="E135" s="74"/>
      <c r="F135" s="2"/>
      <c r="G135" s="7" t="s">
        <v>302</v>
      </c>
      <c r="H135" s="4" t="s">
        <v>303</v>
      </c>
      <c r="K135" s="7" t="s">
        <v>304</v>
      </c>
      <c r="L135" s="79"/>
      <c r="M135" s="74"/>
      <c r="N135" s="63"/>
    </row>
    <row r="136" spans="1:14" ht="15" customHeight="1" x14ac:dyDescent="0.2">
      <c r="A136" s="63"/>
      <c r="B136" s="3"/>
      <c r="C136" s="3"/>
      <c r="D136" s="3"/>
      <c r="E136" s="74"/>
      <c r="F136" s="2"/>
      <c r="G136" s="7" t="s">
        <v>305</v>
      </c>
      <c r="H136" s="4" t="s">
        <v>306</v>
      </c>
      <c r="I136" s="9">
        <v>2</v>
      </c>
      <c r="K136" s="7" t="s">
        <v>307</v>
      </c>
      <c r="L136" s="79"/>
      <c r="M136" s="74"/>
      <c r="N136" s="64"/>
    </row>
    <row r="137" spans="1:14" s="27" customFormat="1" ht="15" customHeight="1" x14ac:dyDescent="0.2">
      <c r="A137" s="23"/>
      <c r="B137" s="70">
        <v>42962</v>
      </c>
      <c r="C137" s="70"/>
      <c r="D137" s="24"/>
      <c r="E137" s="26" t="s">
        <v>308</v>
      </c>
      <c r="F137" s="44" t="s">
        <v>309</v>
      </c>
      <c r="G137" s="44" t="s">
        <v>310</v>
      </c>
      <c r="H137" s="44" t="s">
        <v>311</v>
      </c>
      <c r="I137" s="23">
        <v>2</v>
      </c>
      <c r="K137" s="27" t="s">
        <v>312</v>
      </c>
      <c r="L137" s="25"/>
      <c r="M137" s="26"/>
      <c r="N137" s="23"/>
    </row>
    <row r="138" spans="1:14" ht="15" customHeight="1" x14ac:dyDescent="0.2">
      <c r="A138" s="63">
        <v>30</v>
      </c>
      <c r="B138" s="67">
        <v>43016</v>
      </c>
      <c r="C138" s="67">
        <v>43017</v>
      </c>
      <c r="D138" s="10">
        <v>43016</v>
      </c>
      <c r="E138" s="74" t="s">
        <v>164</v>
      </c>
      <c r="F138" s="74" t="s">
        <v>162</v>
      </c>
      <c r="G138" s="74" t="s">
        <v>163</v>
      </c>
      <c r="H138" s="4" t="s">
        <v>313</v>
      </c>
      <c r="K138" s="7" t="s">
        <v>314</v>
      </c>
    </row>
    <row r="139" spans="1:14" ht="15" customHeight="1" x14ac:dyDescent="0.2">
      <c r="A139" s="63"/>
      <c r="B139" s="67"/>
      <c r="C139" s="67"/>
      <c r="D139" s="10">
        <v>43017</v>
      </c>
      <c r="E139" s="74"/>
      <c r="F139" s="74"/>
      <c r="G139" s="74"/>
      <c r="H139" s="4" t="s">
        <v>160</v>
      </c>
      <c r="K139" s="7" t="s">
        <v>161</v>
      </c>
    </row>
    <row r="140" spans="1:14" s="27" customFormat="1" ht="15" customHeight="1" x14ac:dyDescent="0.2">
      <c r="A140" s="23"/>
      <c r="B140" s="45">
        <v>43044</v>
      </c>
      <c r="C140" s="45">
        <v>43046</v>
      </c>
      <c r="D140" s="24"/>
      <c r="E140" s="26" t="s">
        <v>164</v>
      </c>
      <c r="F140" s="26" t="s">
        <v>162</v>
      </c>
      <c r="G140" s="26" t="s">
        <v>166</v>
      </c>
      <c r="H140" s="28" t="s">
        <v>315</v>
      </c>
      <c r="I140" s="23">
        <v>4</v>
      </c>
      <c r="K140" s="27" t="s">
        <v>316</v>
      </c>
      <c r="L140" s="25"/>
      <c r="M140" s="26"/>
      <c r="N140" s="23"/>
    </row>
    <row r="141" spans="1:14" ht="15" customHeight="1" x14ac:dyDescent="0.2">
      <c r="A141" s="63">
        <v>31</v>
      </c>
      <c r="B141" s="67">
        <v>43088</v>
      </c>
      <c r="C141" s="67">
        <v>43095</v>
      </c>
      <c r="D141" s="10">
        <v>43089</v>
      </c>
      <c r="E141" s="74" t="s">
        <v>164</v>
      </c>
      <c r="F141" s="74" t="s">
        <v>162</v>
      </c>
      <c r="G141" s="6" t="s">
        <v>317</v>
      </c>
      <c r="H141" s="4" t="s">
        <v>318</v>
      </c>
      <c r="K141" s="7" t="s">
        <v>319</v>
      </c>
    </row>
    <row r="142" spans="1:14" ht="15" customHeight="1" x14ac:dyDescent="0.2">
      <c r="A142" s="63"/>
      <c r="B142" s="67"/>
      <c r="C142" s="67"/>
      <c r="D142" s="10">
        <v>43091</v>
      </c>
      <c r="E142" s="74"/>
      <c r="F142" s="74"/>
      <c r="G142" s="7" t="s">
        <v>320</v>
      </c>
      <c r="H142" s="4" t="s">
        <v>321</v>
      </c>
      <c r="K142" s="7" t="s">
        <v>322</v>
      </c>
    </row>
    <row r="143" spans="1:14" ht="15" customHeight="1" x14ac:dyDescent="0.2">
      <c r="A143" s="63"/>
      <c r="B143" s="67"/>
      <c r="C143" s="67"/>
      <c r="D143" s="10">
        <v>43092</v>
      </c>
      <c r="E143" s="74"/>
      <c r="F143" s="74"/>
      <c r="G143" s="7" t="s">
        <v>163</v>
      </c>
      <c r="H143" s="4" t="s">
        <v>323</v>
      </c>
      <c r="K143" s="7" t="s">
        <v>324</v>
      </c>
    </row>
    <row r="144" spans="1:14" s="27" customFormat="1" ht="15" customHeight="1" x14ac:dyDescent="0.2">
      <c r="A144" s="23"/>
      <c r="B144" s="46">
        <v>43095</v>
      </c>
      <c r="C144" s="46">
        <v>43096</v>
      </c>
      <c r="D144" s="24"/>
      <c r="E144" s="26" t="s">
        <v>325</v>
      </c>
      <c r="F144" s="44" t="s">
        <v>91</v>
      </c>
      <c r="G144" s="44" t="s">
        <v>92</v>
      </c>
      <c r="H144" s="44" t="s">
        <v>93</v>
      </c>
      <c r="I144" s="23">
        <v>2</v>
      </c>
      <c r="K144" s="27" t="s">
        <v>326</v>
      </c>
      <c r="L144" s="25"/>
      <c r="M144" s="26"/>
      <c r="N144" s="23"/>
    </row>
    <row r="145" spans="1:14" ht="15" customHeight="1" x14ac:dyDescent="0.2">
      <c r="B145" s="67">
        <v>43119</v>
      </c>
      <c r="C145" s="67"/>
      <c r="E145" s="6" t="s">
        <v>308</v>
      </c>
      <c r="F145" s="5" t="s">
        <v>107</v>
      </c>
      <c r="G145" s="5" t="s">
        <v>327</v>
      </c>
      <c r="H145" s="5" t="s">
        <v>328</v>
      </c>
      <c r="I145" s="9">
        <v>2</v>
      </c>
      <c r="K145" s="7" t="s">
        <v>329</v>
      </c>
    </row>
    <row r="146" spans="1:14" s="27" customFormat="1" ht="15" customHeight="1" x14ac:dyDescent="0.2">
      <c r="A146" s="23"/>
      <c r="B146" s="45">
        <v>43129</v>
      </c>
      <c r="C146" s="45">
        <v>43131</v>
      </c>
      <c r="D146" s="24">
        <v>43130</v>
      </c>
      <c r="E146" s="26" t="s">
        <v>164</v>
      </c>
      <c r="F146" s="27" t="s">
        <v>162</v>
      </c>
      <c r="G146" s="27" t="s">
        <v>166</v>
      </c>
      <c r="H146" s="27" t="s">
        <v>330</v>
      </c>
      <c r="I146" s="23">
        <v>4</v>
      </c>
      <c r="K146" s="27" t="s">
        <v>331</v>
      </c>
      <c r="L146" s="25"/>
      <c r="M146" s="26"/>
      <c r="N146" s="23"/>
    </row>
    <row r="147" spans="1:14" ht="15" customHeight="1" x14ac:dyDescent="0.2">
      <c r="A147" s="63">
        <v>32</v>
      </c>
      <c r="B147" s="67">
        <v>43190</v>
      </c>
      <c r="C147" s="67">
        <v>43194</v>
      </c>
      <c r="D147" s="3">
        <v>43190</v>
      </c>
      <c r="E147" s="74" t="s">
        <v>164</v>
      </c>
      <c r="F147" s="2" t="s">
        <v>162</v>
      </c>
      <c r="G147" s="2" t="s">
        <v>332</v>
      </c>
      <c r="H147" s="7" t="s">
        <v>333</v>
      </c>
      <c r="I147" s="9">
        <v>1</v>
      </c>
      <c r="K147" s="7" t="s">
        <v>159</v>
      </c>
    </row>
    <row r="148" spans="1:14" ht="15" customHeight="1" x14ac:dyDescent="0.2">
      <c r="A148" s="63"/>
      <c r="B148" s="67"/>
      <c r="C148" s="67"/>
      <c r="D148" s="3"/>
      <c r="E148" s="74"/>
      <c r="F148" s="2"/>
      <c r="G148" s="2"/>
      <c r="I148" s="9">
        <v>1</v>
      </c>
      <c r="K148" s="7" t="s">
        <v>334</v>
      </c>
    </row>
    <row r="149" spans="1:14" s="20" customFormat="1" ht="15" customHeight="1" x14ac:dyDescent="0.2">
      <c r="A149" s="62">
        <v>33</v>
      </c>
      <c r="B149" s="66">
        <v>43243</v>
      </c>
      <c r="C149" s="66">
        <v>43244</v>
      </c>
      <c r="D149" s="61">
        <v>43243</v>
      </c>
      <c r="E149" s="73" t="s">
        <v>164</v>
      </c>
      <c r="F149" s="1" t="s">
        <v>162</v>
      </c>
      <c r="G149" s="20" t="s">
        <v>335</v>
      </c>
      <c r="H149" s="20" t="s">
        <v>336</v>
      </c>
      <c r="I149" s="21"/>
      <c r="K149" s="20" t="s">
        <v>337</v>
      </c>
      <c r="L149" s="17"/>
      <c r="M149" s="18"/>
      <c r="N149" s="21"/>
    </row>
    <row r="150" spans="1:14" ht="15" customHeight="1" x14ac:dyDescent="0.2">
      <c r="A150" s="63"/>
      <c r="B150" s="67"/>
      <c r="C150" s="67"/>
      <c r="D150" s="3"/>
      <c r="E150" s="74"/>
      <c r="F150" s="2"/>
      <c r="G150" s="7" t="s">
        <v>338</v>
      </c>
      <c r="H150" s="7" t="s">
        <v>339</v>
      </c>
      <c r="K150" s="7" t="s">
        <v>340</v>
      </c>
    </row>
    <row r="151" spans="1:14" s="32" customFormat="1" ht="15" customHeight="1" x14ac:dyDescent="0.2">
      <c r="A151" s="64"/>
      <c r="B151" s="68"/>
      <c r="C151" s="68"/>
      <c r="D151" s="31">
        <v>43244</v>
      </c>
      <c r="E151" s="75"/>
      <c r="F151" s="69"/>
      <c r="G151" s="35" t="s">
        <v>341</v>
      </c>
      <c r="H151" s="35" t="s">
        <v>342</v>
      </c>
      <c r="I151" s="38"/>
      <c r="K151" s="32" t="s">
        <v>707</v>
      </c>
      <c r="L151" s="40"/>
      <c r="M151" s="41"/>
      <c r="N151" s="38"/>
    </row>
    <row r="152" spans="1:14" ht="15" customHeight="1" x14ac:dyDescent="0.2">
      <c r="A152" s="63">
        <v>34</v>
      </c>
      <c r="B152" s="67">
        <v>43248</v>
      </c>
      <c r="C152" s="67">
        <v>43252</v>
      </c>
      <c r="D152" s="10">
        <v>43249</v>
      </c>
      <c r="E152" s="74" t="s">
        <v>164</v>
      </c>
      <c r="F152" s="2" t="s">
        <v>162</v>
      </c>
      <c r="G152" s="7" t="s">
        <v>163</v>
      </c>
      <c r="H152" s="7" t="s">
        <v>323</v>
      </c>
      <c r="K152" s="7" t="s">
        <v>343</v>
      </c>
    </row>
    <row r="153" spans="1:14" ht="15" customHeight="1" x14ac:dyDescent="0.2">
      <c r="A153" s="63"/>
      <c r="B153" s="67"/>
      <c r="C153" s="67"/>
      <c r="D153" s="10">
        <v>43251</v>
      </c>
      <c r="E153" s="74"/>
      <c r="F153" s="2"/>
      <c r="G153" s="7" t="s">
        <v>335</v>
      </c>
      <c r="H153" s="7" t="s">
        <v>344</v>
      </c>
      <c r="K153" s="7" t="s">
        <v>708</v>
      </c>
    </row>
    <row r="154" spans="1:14" ht="15" customHeight="1" x14ac:dyDescent="0.2">
      <c r="A154" s="63"/>
      <c r="B154" s="67"/>
      <c r="C154" s="67"/>
      <c r="D154" s="10">
        <v>43251</v>
      </c>
      <c r="E154" s="74"/>
      <c r="F154" s="2"/>
      <c r="G154" s="7" t="s">
        <v>345</v>
      </c>
      <c r="K154" s="7" t="s">
        <v>346</v>
      </c>
    </row>
    <row r="155" spans="1:14" s="27" customFormat="1" ht="15" customHeight="1" x14ac:dyDescent="0.2">
      <c r="A155" s="23"/>
      <c r="B155" s="46">
        <v>43253</v>
      </c>
      <c r="C155" s="46">
        <v>43254</v>
      </c>
      <c r="D155" s="24"/>
      <c r="E155" s="26" t="s">
        <v>325</v>
      </c>
      <c r="F155" s="90"/>
      <c r="G155" s="90"/>
      <c r="H155" s="90"/>
      <c r="I155" s="23">
        <v>1</v>
      </c>
      <c r="K155" s="27" t="s">
        <v>347</v>
      </c>
      <c r="L155" s="25"/>
      <c r="M155" s="26"/>
      <c r="N155" s="23"/>
    </row>
    <row r="156" spans="1:14" ht="15" customHeight="1" x14ac:dyDescent="0.2">
      <c r="B156" s="67">
        <v>43270</v>
      </c>
      <c r="C156" s="67"/>
      <c r="E156" s="6" t="s">
        <v>348</v>
      </c>
      <c r="F156" s="91"/>
      <c r="G156" s="91"/>
      <c r="H156" s="91"/>
      <c r="I156" s="9">
        <v>2</v>
      </c>
      <c r="K156" s="7" t="s">
        <v>349</v>
      </c>
    </row>
    <row r="157" spans="1:14" s="27" customFormat="1" ht="15" customHeight="1" x14ac:dyDescent="0.2">
      <c r="A157" s="23">
        <v>35</v>
      </c>
      <c r="B157" s="45">
        <v>43386</v>
      </c>
      <c r="C157" s="45">
        <v>43387</v>
      </c>
      <c r="D157" s="46">
        <v>43386</v>
      </c>
      <c r="E157" s="27" t="s">
        <v>350</v>
      </c>
      <c r="F157" s="27" t="s">
        <v>162</v>
      </c>
      <c r="G157" s="27" t="s">
        <v>166</v>
      </c>
      <c r="I157" s="23"/>
      <c r="J157" s="27">
        <v>1</v>
      </c>
      <c r="K157" s="27" t="s">
        <v>351</v>
      </c>
      <c r="L157" s="25"/>
      <c r="M157" s="26"/>
      <c r="N157" s="23"/>
    </row>
    <row r="158" spans="1:14" s="20" customFormat="1" ht="15" customHeight="1" x14ac:dyDescent="0.2">
      <c r="A158" s="62">
        <v>36</v>
      </c>
      <c r="B158" s="66">
        <v>43414</v>
      </c>
      <c r="C158" s="66">
        <v>43416</v>
      </c>
      <c r="D158" s="71">
        <v>43414</v>
      </c>
      <c r="E158" s="1" t="s">
        <v>350</v>
      </c>
      <c r="F158" s="1" t="s">
        <v>162</v>
      </c>
      <c r="G158" s="20" t="s">
        <v>171</v>
      </c>
      <c r="I158" s="21">
        <v>1</v>
      </c>
      <c r="K158" s="20" t="s">
        <v>352</v>
      </c>
      <c r="L158" s="17"/>
      <c r="M158" s="18"/>
      <c r="N158" s="21"/>
    </row>
    <row r="159" spans="1:14" ht="15" customHeight="1" x14ac:dyDescent="0.2">
      <c r="A159" s="63"/>
      <c r="B159" s="67"/>
      <c r="C159" s="67"/>
      <c r="D159" s="72"/>
      <c r="E159" s="2"/>
      <c r="F159" s="2"/>
      <c r="G159" s="2" t="s">
        <v>353</v>
      </c>
      <c r="H159" s="7" t="s">
        <v>354</v>
      </c>
      <c r="J159" s="7">
        <v>1</v>
      </c>
      <c r="K159" s="7" t="s">
        <v>355</v>
      </c>
    </row>
    <row r="160" spans="1:14" ht="15" customHeight="1" x14ac:dyDescent="0.2">
      <c r="A160" s="63"/>
      <c r="B160" s="67"/>
      <c r="C160" s="67"/>
      <c r="D160" s="3">
        <v>43415</v>
      </c>
      <c r="E160" s="2"/>
      <c r="F160" s="2"/>
      <c r="G160" s="2"/>
      <c r="H160" s="7" t="s">
        <v>356</v>
      </c>
      <c r="K160" s="7" t="s">
        <v>357</v>
      </c>
    </row>
    <row r="161" spans="1:14" s="32" customFormat="1" ht="15" customHeight="1" x14ac:dyDescent="0.2">
      <c r="A161" s="64"/>
      <c r="B161" s="68"/>
      <c r="C161" s="68"/>
      <c r="D161" s="65"/>
      <c r="E161" s="69"/>
      <c r="F161" s="69"/>
      <c r="G161" s="69"/>
      <c r="I161" s="38">
        <v>1</v>
      </c>
      <c r="J161" s="32">
        <v>1</v>
      </c>
      <c r="K161" s="32" t="s">
        <v>358</v>
      </c>
      <c r="L161" s="40"/>
      <c r="M161" s="41"/>
      <c r="N161" s="38"/>
    </row>
    <row r="162" spans="1:14" ht="15" customHeight="1" x14ac:dyDescent="0.2">
      <c r="B162" s="14">
        <v>43449</v>
      </c>
      <c r="C162" s="14">
        <v>43450</v>
      </c>
      <c r="E162" s="7" t="s">
        <v>359</v>
      </c>
      <c r="F162" s="91"/>
      <c r="G162" s="91"/>
      <c r="H162" s="91"/>
      <c r="I162" s="9">
        <v>1</v>
      </c>
      <c r="K162" s="7" t="s">
        <v>360</v>
      </c>
    </row>
    <row r="163" spans="1:14" s="27" customFormat="1" ht="15" customHeight="1" x14ac:dyDescent="0.2">
      <c r="A163" s="23"/>
      <c r="B163" s="70">
        <v>43465</v>
      </c>
      <c r="C163" s="70"/>
      <c r="D163" s="24"/>
      <c r="E163" s="27" t="s">
        <v>348</v>
      </c>
      <c r="F163" s="90"/>
      <c r="G163" s="90"/>
      <c r="H163" s="90"/>
      <c r="I163" s="23">
        <v>1</v>
      </c>
      <c r="K163" s="27" t="s">
        <v>361</v>
      </c>
      <c r="L163" s="25"/>
      <c r="M163" s="26"/>
      <c r="N163" s="23"/>
    </row>
    <row r="164" spans="1:14" ht="15" customHeight="1" x14ac:dyDescent="0.2">
      <c r="A164" s="9">
        <v>37</v>
      </c>
      <c r="B164" s="12">
        <v>43505</v>
      </c>
      <c r="C164" s="12">
        <v>43506</v>
      </c>
      <c r="D164" s="10">
        <v>43505</v>
      </c>
      <c r="E164" s="7" t="s">
        <v>350</v>
      </c>
      <c r="F164" s="7" t="s">
        <v>162</v>
      </c>
      <c r="G164" s="7" t="s">
        <v>183</v>
      </c>
      <c r="H164" s="7" t="s">
        <v>184</v>
      </c>
      <c r="I164" s="9">
        <v>2</v>
      </c>
      <c r="K164" s="7" t="s">
        <v>362</v>
      </c>
    </row>
    <row r="165" spans="1:14" s="27" customFormat="1" ht="15" customHeight="1" x14ac:dyDescent="0.2">
      <c r="A165" s="23"/>
      <c r="B165" s="70">
        <v>43596</v>
      </c>
      <c r="C165" s="70"/>
      <c r="D165" s="24"/>
      <c r="E165" s="27" t="s">
        <v>363</v>
      </c>
      <c r="F165" s="90"/>
      <c r="G165" s="90"/>
      <c r="H165" s="90"/>
      <c r="I165" s="23"/>
      <c r="K165" s="27" t="s">
        <v>364</v>
      </c>
      <c r="L165" s="25"/>
      <c r="M165" s="26"/>
      <c r="N165" s="23"/>
    </row>
    <row r="166" spans="1:14" ht="15" customHeight="1" x14ac:dyDescent="0.2">
      <c r="A166" s="9">
        <v>38</v>
      </c>
      <c r="B166" s="12">
        <v>43610</v>
      </c>
      <c r="C166" s="12">
        <v>43612</v>
      </c>
      <c r="D166" s="10">
        <v>43610</v>
      </c>
      <c r="E166" s="6" t="s">
        <v>365</v>
      </c>
      <c r="F166" s="7" t="s">
        <v>162</v>
      </c>
      <c r="G166" s="7" t="s">
        <v>183</v>
      </c>
      <c r="K166" s="7" t="s">
        <v>366</v>
      </c>
    </row>
    <row r="167" spans="1:14" s="27" customFormat="1" ht="15" customHeight="1" x14ac:dyDescent="0.2">
      <c r="A167" s="23"/>
      <c r="B167" s="45">
        <v>43649</v>
      </c>
      <c r="C167" s="45">
        <v>43651</v>
      </c>
      <c r="D167" s="24"/>
      <c r="E167" s="26" t="s">
        <v>367</v>
      </c>
      <c r="F167" s="90"/>
      <c r="G167" s="90" t="s">
        <v>26</v>
      </c>
      <c r="H167" s="90"/>
      <c r="I167" s="23">
        <v>2</v>
      </c>
      <c r="K167" s="27" t="s">
        <v>368</v>
      </c>
      <c r="L167" s="25"/>
      <c r="M167" s="26"/>
      <c r="N167" s="23"/>
    </row>
    <row r="168" spans="1:14" ht="15" customHeight="1" x14ac:dyDescent="0.2">
      <c r="B168" s="70">
        <v>43655</v>
      </c>
      <c r="C168" s="70"/>
      <c r="E168" s="6" t="s">
        <v>369</v>
      </c>
      <c r="F168" s="91"/>
      <c r="G168" s="91" t="s">
        <v>166</v>
      </c>
      <c r="H168" s="91" t="s">
        <v>370</v>
      </c>
      <c r="I168" s="9">
        <v>2</v>
      </c>
      <c r="K168" s="7" t="s">
        <v>371</v>
      </c>
    </row>
    <row r="169" spans="1:14" s="27" customFormat="1" ht="15" customHeight="1" x14ac:dyDescent="0.2">
      <c r="A169" s="23">
        <v>39</v>
      </c>
      <c r="B169" s="45">
        <v>43671</v>
      </c>
      <c r="C169" s="45">
        <v>43676</v>
      </c>
      <c r="D169" s="24"/>
      <c r="E169" s="26" t="s">
        <v>365</v>
      </c>
      <c r="F169" s="27" t="s">
        <v>15</v>
      </c>
      <c r="G169" s="27" t="s">
        <v>26</v>
      </c>
      <c r="I169" s="23">
        <v>3</v>
      </c>
      <c r="K169" s="27" t="s">
        <v>372</v>
      </c>
      <c r="L169" s="25"/>
      <c r="M169" s="26"/>
      <c r="N169" s="23"/>
    </row>
    <row r="170" spans="1:14" ht="15" customHeight="1" x14ac:dyDescent="0.2">
      <c r="A170" s="63">
        <v>40</v>
      </c>
      <c r="B170" s="67">
        <v>43707</v>
      </c>
      <c r="C170" s="67">
        <v>43710</v>
      </c>
      <c r="D170" s="14">
        <v>43709</v>
      </c>
      <c r="E170" s="74" t="s">
        <v>365</v>
      </c>
      <c r="F170" s="2" t="s">
        <v>162</v>
      </c>
      <c r="G170" s="2" t="s">
        <v>373</v>
      </c>
      <c r="H170" s="7" t="s">
        <v>374</v>
      </c>
      <c r="K170" s="7" t="s">
        <v>709</v>
      </c>
    </row>
    <row r="171" spans="1:14" ht="15" customHeight="1" x14ac:dyDescent="0.2">
      <c r="A171" s="63"/>
      <c r="B171" s="67"/>
      <c r="C171" s="67"/>
      <c r="D171" s="14">
        <v>43710</v>
      </c>
      <c r="E171" s="74"/>
      <c r="F171" s="2"/>
      <c r="G171" s="2"/>
      <c r="I171" s="9">
        <v>1</v>
      </c>
      <c r="J171" s="7">
        <v>1</v>
      </c>
      <c r="K171" s="7" t="s">
        <v>710</v>
      </c>
    </row>
    <row r="172" spans="1:14" s="20" customFormat="1" ht="15" customHeight="1" x14ac:dyDescent="0.2">
      <c r="A172" s="62">
        <v>41</v>
      </c>
      <c r="B172" s="66">
        <v>43729</v>
      </c>
      <c r="C172" s="66">
        <v>43732</v>
      </c>
      <c r="D172" s="16">
        <v>43729</v>
      </c>
      <c r="E172" s="73" t="s">
        <v>365</v>
      </c>
      <c r="F172" s="1" t="s">
        <v>162</v>
      </c>
      <c r="G172" s="20" t="s">
        <v>375</v>
      </c>
      <c r="I172" s="21">
        <v>1</v>
      </c>
      <c r="K172" s="20" t="s">
        <v>376</v>
      </c>
      <c r="L172" s="17"/>
      <c r="M172" s="18"/>
      <c r="N172" s="21"/>
    </row>
    <row r="173" spans="1:14" s="32" customFormat="1" ht="15" customHeight="1" x14ac:dyDescent="0.2">
      <c r="A173" s="64"/>
      <c r="B173" s="68"/>
      <c r="C173" s="68"/>
      <c r="D173" s="31">
        <v>43730</v>
      </c>
      <c r="E173" s="75"/>
      <c r="F173" s="69"/>
      <c r="G173" s="32" t="s">
        <v>377</v>
      </c>
      <c r="H173" s="32" t="s">
        <v>378</v>
      </c>
      <c r="I173" s="38">
        <v>1</v>
      </c>
      <c r="K173" s="32" t="s">
        <v>379</v>
      </c>
      <c r="L173" s="40"/>
      <c r="M173" s="41"/>
      <c r="N173" s="38"/>
    </row>
    <row r="174" spans="1:14" ht="15" customHeight="1" x14ac:dyDescent="0.2">
      <c r="A174" s="9">
        <v>42</v>
      </c>
      <c r="B174" s="12">
        <v>43750</v>
      </c>
      <c r="C174" s="12">
        <v>43751</v>
      </c>
      <c r="D174" s="10">
        <v>43750</v>
      </c>
      <c r="E174" s="6" t="s">
        <v>365</v>
      </c>
      <c r="F174" s="7" t="s">
        <v>162</v>
      </c>
      <c r="G174" s="7" t="s">
        <v>166</v>
      </c>
      <c r="H174" s="7" t="s">
        <v>167</v>
      </c>
      <c r="I174" s="9">
        <v>2</v>
      </c>
      <c r="K174" s="7" t="s">
        <v>380</v>
      </c>
    </row>
    <row r="175" spans="1:14" s="20" customFormat="1" ht="15" customHeight="1" x14ac:dyDescent="0.2">
      <c r="A175" s="62">
        <v>43</v>
      </c>
      <c r="B175" s="66">
        <v>43778</v>
      </c>
      <c r="C175" s="66">
        <v>43780</v>
      </c>
      <c r="D175" s="61">
        <v>43778</v>
      </c>
      <c r="E175" s="73" t="s">
        <v>365</v>
      </c>
      <c r="F175" s="1" t="s">
        <v>162</v>
      </c>
      <c r="G175" s="1" t="s">
        <v>381</v>
      </c>
      <c r="H175" s="20" t="s">
        <v>382</v>
      </c>
      <c r="I175" s="21">
        <v>1</v>
      </c>
      <c r="K175" s="20" t="s">
        <v>383</v>
      </c>
      <c r="L175" s="17"/>
      <c r="M175" s="18"/>
      <c r="N175" s="21"/>
    </row>
    <row r="176" spans="1:14" ht="15" customHeight="1" x14ac:dyDescent="0.2">
      <c r="A176" s="63"/>
      <c r="B176" s="67"/>
      <c r="C176" s="67"/>
      <c r="D176" s="3"/>
      <c r="E176" s="74"/>
      <c r="F176" s="2"/>
      <c r="G176" s="2"/>
      <c r="H176" s="7" t="s">
        <v>384</v>
      </c>
      <c r="J176" s="7">
        <v>1</v>
      </c>
      <c r="K176" s="7" t="s">
        <v>711</v>
      </c>
    </row>
    <row r="177" spans="1:14" ht="15" customHeight="1" x14ac:dyDescent="0.2">
      <c r="A177" s="63"/>
      <c r="B177" s="67"/>
      <c r="C177" s="67"/>
      <c r="D177" s="10">
        <v>43779</v>
      </c>
      <c r="E177" s="74"/>
      <c r="F177" s="2"/>
      <c r="G177" s="2"/>
      <c r="H177" s="7" t="s">
        <v>385</v>
      </c>
      <c r="K177" s="7" t="s">
        <v>386</v>
      </c>
    </row>
    <row r="178" spans="1:14" s="32" customFormat="1" ht="15" customHeight="1" x14ac:dyDescent="0.2">
      <c r="A178" s="64"/>
      <c r="B178" s="68"/>
      <c r="C178" s="68"/>
      <c r="D178" s="31">
        <v>43780</v>
      </c>
      <c r="E178" s="75"/>
      <c r="F178" s="69"/>
      <c r="G178" s="69"/>
      <c r="H178" s="32" t="s">
        <v>387</v>
      </c>
      <c r="I178" s="38">
        <v>1</v>
      </c>
      <c r="K178" s="32" t="s">
        <v>388</v>
      </c>
      <c r="L178" s="40"/>
      <c r="M178" s="41"/>
      <c r="N178" s="38"/>
    </row>
    <row r="179" spans="1:14" ht="15" customHeight="1" x14ac:dyDescent="0.2">
      <c r="A179" s="63">
        <v>44</v>
      </c>
      <c r="B179" s="67">
        <v>43796</v>
      </c>
      <c r="C179" s="67">
        <v>43800</v>
      </c>
      <c r="D179" s="10">
        <v>43797</v>
      </c>
      <c r="E179" s="74" t="s">
        <v>365</v>
      </c>
      <c r="F179" s="2" t="s">
        <v>162</v>
      </c>
      <c r="G179" s="2" t="s">
        <v>389</v>
      </c>
      <c r="H179" s="7" t="s">
        <v>390</v>
      </c>
      <c r="K179" s="7" t="s">
        <v>712</v>
      </c>
    </row>
    <row r="180" spans="1:14" ht="15" customHeight="1" x14ac:dyDescent="0.2">
      <c r="A180" s="63"/>
      <c r="B180" s="67"/>
      <c r="C180" s="67"/>
      <c r="D180" s="10">
        <v>43799</v>
      </c>
      <c r="E180" s="74"/>
      <c r="F180" s="2"/>
      <c r="G180" s="2"/>
      <c r="K180" s="7" t="s">
        <v>391</v>
      </c>
    </row>
    <row r="181" spans="1:14" ht="15" customHeight="1" x14ac:dyDescent="0.2">
      <c r="A181" s="63"/>
      <c r="B181" s="67"/>
      <c r="C181" s="67"/>
      <c r="D181" s="10">
        <v>43800</v>
      </c>
      <c r="E181" s="74"/>
      <c r="F181" s="2"/>
      <c r="G181" s="7" t="s">
        <v>166</v>
      </c>
      <c r="J181" s="7">
        <v>1</v>
      </c>
      <c r="K181" s="7" t="s">
        <v>713</v>
      </c>
    </row>
    <row r="182" spans="1:14" s="20" customFormat="1" ht="15" customHeight="1" x14ac:dyDescent="0.2">
      <c r="A182" s="62">
        <v>45</v>
      </c>
      <c r="B182" s="66">
        <v>43821</v>
      </c>
      <c r="C182" s="66">
        <v>43831</v>
      </c>
      <c r="D182" s="16">
        <v>43823</v>
      </c>
      <c r="E182" s="73" t="s">
        <v>365</v>
      </c>
      <c r="F182" s="20" t="s">
        <v>117</v>
      </c>
      <c r="G182" s="20" t="s">
        <v>392</v>
      </c>
      <c r="H182" s="20" t="s">
        <v>393</v>
      </c>
      <c r="I182" s="21">
        <v>2</v>
      </c>
      <c r="J182" s="20">
        <v>1</v>
      </c>
      <c r="K182" s="20" t="s">
        <v>159</v>
      </c>
      <c r="L182" s="17"/>
      <c r="M182" s="18"/>
      <c r="N182" s="21"/>
    </row>
    <row r="183" spans="1:14" ht="15" customHeight="1" x14ac:dyDescent="0.2">
      <c r="A183" s="63"/>
      <c r="B183" s="67"/>
      <c r="C183" s="67"/>
      <c r="D183" s="10">
        <v>43824</v>
      </c>
      <c r="E183" s="74"/>
      <c r="F183" s="7" t="s">
        <v>394</v>
      </c>
      <c r="G183" s="7" t="s">
        <v>395</v>
      </c>
      <c r="K183" s="7" t="s">
        <v>159</v>
      </c>
    </row>
    <row r="184" spans="1:14" ht="15" customHeight="1" x14ac:dyDescent="0.2">
      <c r="A184" s="63"/>
      <c r="B184" s="67"/>
      <c r="C184" s="67"/>
      <c r="D184" s="10">
        <v>43825</v>
      </c>
      <c r="E184" s="74"/>
      <c r="F184" s="2" t="s">
        <v>396</v>
      </c>
      <c r="G184" s="2" t="s">
        <v>397</v>
      </c>
      <c r="H184" s="7" t="s">
        <v>398</v>
      </c>
      <c r="K184" s="7" t="s">
        <v>399</v>
      </c>
    </row>
    <row r="185" spans="1:14" ht="15" customHeight="1" x14ac:dyDescent="0.2">
      <c r="A185" s="63"/>
      <c r="B185" s="67"/>
      <c r="C185" s="67"/>
      <c r="D185" s="3">
        <v>43826</v>
      </c>
      <c r="E185" s="74"/>
      <c r="F185" s="2"/>
      <c r="G185" s="2"/>
      <c r="H185" s="7" t="s">
        <v>400</v>
      </c>
      <c r="K185" s="7" t="s">
        <v>401</v>
      </c>
    </row>
    <row r="186" spans="1:14" ht="15" customHeight="1" x14ac:dyDescent="0.2">
      <c r="A186" s="63"/>
      <c r="B186" s="67"/>
      <c r="C186" s="67"/>
      <c r="D186" s="3"/>
      <c r="E186" s="74"/>
      <c r="F186" s="7" t="s">
        <v>91</v>
      </c>
      <c r="G186" s="7" t="s">
        <v>402</v>
      </c>
      <c r="H186" s="7" t="s">
        <v>403</v>
      </c>
      <c r="J186" s="7">
        <v>1</v>
      </c>
      <c r="K186" s="7" t="s">
        <v>404</v>
      </c>
    </row>
    <row r="187" spans="1:14" ht="15" customHeight="1" x14ac:dyDescent="0.2">
      <c r="A187" s="63"/>
      <c r="B187" s="67"/>
      <c r="C187" s="67"/>
      <c r="D187" s="3">
        <v>43827</v>
      </c>
      <c r="E187" s="74"/>
      <c r="F187" s="7" t="s">
        <v>405</v>
      </c>
      <c r="G187" s="7" t="s">
        <v>406</v>
      </c>
      <c r="H187" s="7" t="s">
        <v>407</v>
      </c>
    </row>
    <row r="188" spans="1:14" ht="15" customHeight="1" x14ac:dyDescent="0.2">
      <c r="A188" s="63"/>
      <c r="B188" s="67"/>
      <c r="C188" s="67"/>
      <c r="D188" s="3"/>
      <c r="E188" s="74"/>
      <c r="F188" s="7" t="s">
        <v>91</v>
      </c>
      <c r="G188" s="7" t="s">
        <v>92</v>
      </c>
      <c r="H188" s="7" t="s">
        <v>93</v>
      </c>
    </row>
    <row r="189" spans="1:14" ht="15" customHeight="1" x14ac:dyDescent="0.2">
      <c r="A189" s="63"/>
      <c r="B189" s="67"/>
      <c r="C189" s="67"/>
      <c r="D189" s="10">
        <v>43828</v>
      </c>
      <c r="E189" s="74"/>
      <c r="F189" s="7" t="s">
        <v>408</v>
      </c>
      <c r="G189" s="7" t="s">
        <v>409</v>
      </c>
      <c r="H189" s="7" t="s">
        <v>410</v>
      </c>
      <c r="J189" s="7">
        <v>1</v>
      </c>
    </row>
    <row r="190" spans="1:14" s="32" customFormat="1" ht="15" customHeight="1" x14ac:dyDescent="0.2">
      <c r="A190" s="64"/>
      <c r="B190" s="68"/>
      <c r="C190" s="68"/>
      <c r="D190" s="31">
        <v>43829</v>
      </c>
      <c r="E190" s="75"/>
      <c r="F190" s="32" t="s">
        <v>411</v>
      </c>
      <c r="G190" s="32" t="s">
        <v>412</v>
      </c>
      <c r="H190" s="32" t="s">
        <v>412</v>
      </c>
      <c r="I190" s="38">
        <v>2</v>
      </c>
      <c r="J190" s="32">
        <v>1</v>
      </c>
      <c r="L190" s="40"/>
      <c r="M190" s="41"/>
      <c r="N190" s="38"/>
    </row>
    <row r="191" spans="1:14" ht="15" customHeight="1" x14ac:dyDescent="0.2">
      <c r="A191" s="63">
        <v>46</v>
      </c>
      <c r="B191" s="3">
        <v>43848</v>
      </c>
      <c r="C191" s="3">
        <v>43851</v>
      </c>
      <c r="D191" s="10">
        <v>43849</v>
      </c>
      <c r="E191" s="74" t="s">
        <v>365</v>
      </c>
      <c r="F191" s="2" t="s">
        <v>162</v>
      </c>
      <c r="G191" s="2" t="s">
        <v>377</v>
      </c>
      <c r="H191" s="7" t="s">
        <v>413</v>
      </c>
      <c r="I191" s="9">
        <v>1</v>
      </c>
      <c r="K191" s="7" t="s">
        <v>414</v>
      </c>
    </row>
    <row r="192" spans="1:14" ht="15" customHeight="1" x14ac:dyDescent="0.2">
      <c r="A192" s="63"/>
      <c r="B192" s="3"/>
      <c r="C192" s="3"/>
      <c r="D192" s="10">
        <v>43850</v>
      </c>
      <c r="E192" s="74"/>
      <c r="F192" s="2"/>
      <c r="G192" s="2"/>
      <c r="H192" s="7" t="s">
        <v>415</v>
      </c>
      <c r="I192" s="9">
        <v>2</v>
      </c>
      <c r="J192" s="7">
        <v>1</v>
      </c>
      <c r="K192" s="7" t="s">
        <v>416</v>
      </c>
    </row>
    <row r="193" spans="1:14" s="27" customFormat="1" ht="15" customHeight="1" x14ac:dyDescent="0.2">
      <c r="A193" s="23"/>
      <c r="B193" s="70">
        <v>43954</v>
      </c>
      <c r="C193" s="70"/>
      <c r="D193" s="24"/>
      <c r="E193" s="26" t="s">
        <v>417</v>
      </c>
      <c r="I193" s="23"/>
      <c r="K193" s="27" t="s">
        <v>364</v>
      </c>
      <c r="L193" s="25"/>
      <c r="M193" s="26"/>
      <c r="N193" s="23"/>
    </row>
    <row r="194" spans="1:14" ht="15" customHeight="1" x14ac:dyDescent="0.2">
      <c r="A194" s="63">
        <v>47</v>
      </c>
      <c r="B194" s="3">
        <v>44057</v>
      </c>
      <c r="C194" s="3">
        <v>44059</v>
      </c>
      <c r="D194" s="10">
        <v>44058</v>
      </c>
      <c r="E194" s="74" t="s">
        <v>350</v>
      </c>
      <c r="F194" s="2" t="s">
        <v>162</v>
      </c>
      <c r="G194" s="7" t="s">
        <v>389</v>
      </c>
      <c r="K194" s="7" t="s">
        <v>418</v>
      </c>
    </row>
    <row r="195" spans="1:14" ht="15" customHeight="1" x14ac:dyDescent="0.2">
      <c r="A195" s="63"/>
      <c r="B195" s="3"/>
      <c r="C195" s="3"/>
      <c r="D195" s="10">
        <v>44059</v>
      </c>
      <c r="E195" s="74"/>
      <c r="F195" s="2"/>
      <c r="G195" s="7" t="s">
        <v>166</v>
      </c>
      <c r="K195" s="7" t="s">
        <v>419</v>
      </c>
    </row>
    <row r="196" spans="1:14" s="27" customFormat="1" ht="15" customHeight="1" x14ac:dyDescent="0.2">
      <c r="A196" s="23">
        <v>48</v>
      </c>
      <c r="B196" s="24">
        <v>44071</v>
      </c>
      <c r="C196" s="24">
        <v>44072</v>
      </c>
      <c r="D196" s="24">
        <v>44072</v>
      </c>
      <c r="E196" s="26" t="s">
        <v>350</v>
      </c>
      <c r="F196" s="27" t="s">
        <v>162</v>
      </c>
      <c r="G196" s="27" t="s">
        <v>166</v>
      </c>
      <c r="I196" s="23"/>
      <c r="K196" s="27" t="s">
        <v>420</v>
      </c>
      <c r="L196" s="25"/>
      <c r="M196" s="26"/>
      <c r="N196" s="23"/>
    </row>
    <row r="197" spans="1:14" ht="15" customHeight="1" x14ac:dyDescent="0.2">
      <c r="A197" s="63">
        <v>49</v>
      </c>
      <c r="B197" s="3">
        <v>44078</v>
      </c>
      <c r="C197" s="3">
        <v>44081</v>
      </c>
      <c r="D197" s="72">
        <v>44079</v>
      </c>
      <c r="E197" s="74" t="s">
        <v>350</v>
      </c>
      <c r="F197" s="2" t="s">
        <v>162</v>
      </c>
      <c r="G197" s="7" t="s">
        <v>166</v>
      </c>
      <c r="K197" s="7" t="s">
        <v>421</v>
      </c>
    </row>
    <row r="198" spans="1:14" ht="15" customHeight="1" x14ac:dyDescent="0.2">
      <c r="A198" s="63"/>
      <c r="B198" s="3"/>
      <c r="C198" s="3"/>
      <c r="D198" s="72"/>
      <c r="E198" s="74"/>
      <c r="F198" s="2"/>
      <c r="G198" s="2" t="s">
        <v>183</v>
      </c>
      <c r="H198" s="7" t="s">
        <v>184</v>
      </c>
      <c r="K198" s="7" t="s">
        <v>159</v>
      </c>
    </row>
    <row r="199" spans="1:14" ht="15" customHeight="1" x14ac:dyDescent="0.2">
      <c r="A199" s="63"/>
      <c r="B199" s="3"/>
      <c r="C199" s="3"/>
      <c r="D199" s="72">
        <v>44080</v>
      </c>
      <c r="E199" s="74"/>
      <c r="F199" s="2"/>
      <c r="G199" s="2"/>
      <c r="K199" s="7" t="s">
        <v>714</v>
      </c>
    </row>
    <row r="200" spans="1:14" ht="15" customHeight="1" x14ac:dyDescent="0.2">
      <c r="A200" s="63"/>
      <c r="B200" s="3"/>
      <c r="C200" s="3"/>
      <c r="D200" s="72"/>
      <c r="E200" s="74"/>
      <c r="F200" s="2"/>
      <c r="G200" s="7" t="s">
        <v>166</v>
      </c>
      <c r="K200" s="7" t="s">
        <v>422</v>
      </c>
    </row>
    <row r="201" spans="1:14" s="27" customFormat="1" ht="15" customHeight="1" x14ac:dyDescent="0.2">
      <c r="A201" s="23">
        <v>50</v>
      </c>
      <c r="B201" s="24">
        <v>44113</v>
      </c>
      <c r="C201" s="24">
        <v>44114</v>
      </c>
      <c r="D201" s="24">
        <v>44114</v>
      </c>
      <c r="E201" s="26" t="s">
        <v>350</v>
      </c>
      <c r="F201" s="27" t="s">
        <v>162</v>
      </c>
      <c r="G201" s="27" t="s">
        <v>166</v>
      </c>
      <c r="H201" s="27" t="s">
        <v>423</v>
      </c>
      <c r="I201" s="23"/>
      <c r="K201" s="27" t="s">
        <v>424</v>
      </c>
      <c r="L201" s="25"/>
      <c r="M201" s="26"/>
      <c r="N201" s="23"/>
    </row>
    <row r="202" spans="1:14" ht="15" customHeight="1" x14ac:dyDescent="0.2">
      <c r="A202" s="63">
        <v>51</v>
      </c>
      <c r="B202" s="3">
        <v>44141</v>
      </c>
      <c r="C202" s="3">
        <v>44150</v>
      </c>
      <c r="D202" s="10">
        <v>44143</v>
      </c>
      <c r="E202" s="74" t="s">
        <v>350</v>
      </c>
      <c r="F202" s="2" t="s">
        <v>162</v>
      </c>
      <c r="G202" s="2" t="s">
        <v>185</v>
      </c>
      <c r="H202" s="2" t="s">
        <v>425</v>
      </c>
      <c r="K202" s="7" t="s">
        <v>426</v>
      </c>
    </row>
    <row r="203" spans="1:14" ht="15" customHeight="1" x14ac:dyDescent="0.2">
      <c r="A203" s="63"/>
      <c r="B203" s="3"/>
      <c r="C203" s="3"/>
      <c r="D203" s="10">
        <v>44144</v>
      </c>
      <c r="E203" s="74"/>
      <c r="F203" s="2"/>
      <c r="G203" s="2"/>
      <c r="H203" s="2"/>
      <c r="K203" s="7" t="s">
        <v>427</v>
      </c>
    </row>
    <row r="204" spans="1:14" ht="15" customHeight="1" x14ac:dyDescent="0.2">
      <c r="A204" s="63"/>
      <c r="B204" s="3"/>
      <c r="C204" s="3"/>
      <c r="D204" s="10">
        <v>44145</v>
      </c>
      <c r="E204" s="74"/>
      <c r="F204" s="2"/>
      <c r="G204" s="2"/>
      <c r="H204" s="2"/>
      <c r="K204" s="7" t="s">
        <v>428</v>
      </c>
    </row>
    <row r="205" spans="1:14" ht="15" customHeight="1" x14ac:dyDescent="0.2">
      <c r="A205" s="63"/>
      <c r="B205" s="3"/>
      <c r="C205" s="3"/>
      <c r="D205" s="10">
        <v>44146</v>
      </c>
      <c r="E205" s="74"/>
      <c r="F205" s="2"/>
      <c r="G205" s="2"/>
      <c r="H205" s="2"/>
      <c r="K205" s="7" t="s">
        <v>429</v>
      </c>
    </row>
    <row r="206" spans="1:14" ht="15" customHeight="1" x14ac:dyDescent="0.2">
      <c r="A206" s="63"/>
      <c r="B206" s="3"/>
      <c r="C206" s="3"/>
      <c r="D206" s="10">
        <v>44147</v>
      </c>
      <c r="E206" s="74"/>
      <c r="F206" s="2"/>
      <c r="G206" s="2"/>
      <c r="H206" s="7" t="s">
        <v>430</v>
      </c>
      <c r="K206" s="7" t="s">
        <v>431</v>
      </c>
    </row>
    <row r="207" spans="1:14" ht="15" customHeight="1" x14ac:dyDescent="0.2">
      <c r="A207" s="63"/>
      <c r="B207" s="3"/>
      <c r="C207" s="3"/>
      <c r="D207" s="10">
        <v>44148</v>
      </c>
      <c r="E207" s="74"/>
      <c r="F207" s="2"/>
      <c r="G207" s="2"/>
      <c r="H207" s="7" t="s">
        <v>432</v>
      </c>
      <c r="K207" s="7" t="s">
        <v>715</v>
      </c>
    </row>
    <row r="208" spans="1:14" ht="15" customHeight="1" x14ac:dyDescent="0.2">
      <c r="A208" s="63"/>
      <c r="B208" s="3"/>
      <c r="C208" s="3"/>
      <c r="D208" s="10">
        <v>44149</v>
      </c>
      <c r="E208" s="74"/>
      <c r="F208" s="2"/>
      <c r="G208" s="2" t="s">
        <v>166</v>
      </c>
      <c r="H208" s="7" t="s">
        <v>433</v>
      </c>
      <c r="K208" s="7" t="s">
        <v>434</v>
      </c>
    </row>
    <row r="209" spans="1:14" ht="15" customHeight="1" x14ac:dyDescent="0.2">
      <c r="A209" s="63"/>
      <c r="B209" s="3"/>
      <c r="C209" s="3"/>
      <c r="D209" s="10">
        <v>44150</v>
      </c>
      <c r="E209" s="74"/>
      <c r="F209" s="2"/>
      <c r="G209" s="2"/>
      <c r="H209" s="7" t="s">
        <v>435</v>
      </c>
      <c r="K209" s="7" t="s">
        <v>436</v>
      </c>
    </row>
    <row r="210" spans="1:14" s="20" customFormat="1" ht="15" customHeight="1" x14ac:dyDescent="0.2">
      <c r="A210" s="62">
        <v>52</v>
      </c>
      <c r="B210" s="61">
        <v>44241</v>
      </c>
      <c r="C210" s="61">
        <v>44242</v>
      </c>
      <c r="D210" s="16">
        <v>44241</v>
      </c>
      <c r="E210" s="73" t="s">
        <v>350</v>
      </c>
      <c r="F210" s="1" t="s">
        <v>162</v>
      </c>
      <c r="G210" s="1" t="s">
        <v>166</v>
      </c>
      <c r="H210" s="20" t="s">
        <v>437</v>
      </c>
      <c r="I210" s="21"/>
      <c r="K210" s="20" t="s">
        <v>438</v>
      </c>
      <c r="L210" s="17"/>
      <c r="M210" s="18"/>
      <c r="N210" s="21"/>
    </row>
    <row r="211" spans="1:14" s="32" customFormat="1" ht="15" customHeight="1" x14ac:dyDescent="0.2">
      <c r="A211" s="64"/>
      <c r="B211" s="65"/>
      <c r="C211" s="65"/>
      <c r="D211" s="31">
        <v>44242</v>
      </c>
      <c r="E211" s="75"/>
      <c r="F211" s="69"/>
      <c r="G211" s="69"/>
      <c r="I211" s="38"/>
      <c r="K211" s="32" t="s">
        <v>439</v>
      </c>
      <c r="L211" s="40"/>
      <c r="M211" s="41"/>
      <c r="N211" s="38"/>
    </row>
    <row r="212" spans="1:14" ht="15" customHeight="1" x14ac:dyDescent="0.2">
      <c r="A212" s="63">
        <v>53</v>
      </c>
      <c r="B212" s="3">
        <v>44246</v>
      </c>
      <c r="C212" s="3">
        <v>44248</v>
      </c>
      <c r="D212" s="10">
        <v>44246</v>
      </c>
      <c r="E212" s="74" t="s">
        <v>350</v>
      </c>
      <c r="F212" s="2" t="s">
        <v>162</v>
      </c>
      <c r="G212" s="2" t="s">
        <v>166</v>
      </c>
      <c r="H212" s="7" t="s">
        <v>440</v>
      </c>
      <c r="K212" s="7" t="s">
        <v>441</v>
      </c>
    </row>
    <row r="213" spans="1:14" ht="15" customHeight="1" x14ac:dyDescent="0.2">
      <c r="A213" s="63"/>
      <c r="B213" s="3"/>
      <c r="C213" s="3"/>
      <c r="D213" s="10">
        <v>44247</v>
      </c>
      <c r="E213" s="74"/>
      <c r="F213" s="2"/>
      <c r="G213" s="2"/>
      <c r="H213" s="7" t="s">
        <v>442</v>
      </c>
      <c r="K213" s="7" t="s">
        <v>716</v>
      </c>
    </row>
    <row r="214" spans="1:14" s="20" customFormat="1" ht="15" customHeight="1" x14ac:dyDescent="0.2">
      <c r="A214" s="62">
        <v>54</v>
      </c>
      <c r="B214" s="61">
        <v>44330</v>
      </c>
      <c r="C214" s="61">
        <v>44333</v>
      </c>
      <c r="D214" s="16">
        <v>44331</v>
      </c>
      <c r="E214" s="73" t="s">
        <v>350</v>
      </c>
      <c r="F214" s="1" t="s">
        <v>162</v>
      </c>
      <c r="G214" s="20" t="s">
        <v>176</v>
      </c>
      <c r="H214" s="20" t="s">
        <v>443</v>
      </c>
      <c r="I214" s="21">
        <v>1</v>
      </c>
      <c r="K214" s="20" t="s">
        <v>717</v>
      </c>
      <c r="L214" s="17"/>
      <c r="M214" s="18"/>
      <c r="N214" s="21"/>
    </row>
    <row r="215" spans="1:14" ht="15" customHeight="1" x14ac:dyDescent="0.2">
      <c r="A215" s="63"/>
      <c r="B215" s="3"/>
      <c r="C215" s="3"/>
      <c r="D215" s="10">
        <v>44332</v>
      </c>
      <c r="E215" s="74"/>
      <c r="F215" s="2"/>
      <c r="G215" s="7" t="s">
        <v>444</v>
      </c>
      <c r="H215" s="7" t="s">
        <v>445</v>
      </c>
      <c r="K215" s="7" t="s">
        <v>718</v>
      </c>
    </row>
    <row r="216" spans="1:14" s="32" customFormat="1" ht="15" customHeight="1" x14ac:dyDescent="0.2">
      <c r="A216" s="64"/>
      <c r="B216" s="65"/>
      <c r="C216" s="65"/>
      <c r="D216" s="31">
        <v>44333</v>
      </c>
      <c r="E216" s="75"/>
      <c r="F216" s="69"/>
      <c r="G216" s="32" t="s">
        <v>446</v>
      </c>
      <c r="I216" s="38">
        <v>1</v>
      </c>
      <c r="K216" s="32" t="s">
        <v>719</v>
      </c>
      <c r="L216" s="40"/>
      <c r="M216" s="41"/>
      <c r="N216" s="38"/>
    </row>
    <row r="217" spans="1:14" ht="15" customHeight="1" x14ac:dyDescent="0.2">
      <c r="A217" s="63">
        <v>55</v>
      </c>
      <c r="B217" s="3">
        <v>44345</v>
      </c>
      <c r="C217" s="3">
        <v>44352</v>
      </c>
      <c r="D217" s="10">
        <v>44346</v>
      </c>
      <c r="E217" s="74" t="s">
        <v>350</v>
      </c>
      <c r="F217" s="2" t="s">
        <v>162</v>
      </c>
      <c r="G217" s="2" t="s">
        <v>169</v>
      </c>
      <c r="I217" s="9">
        <v>1</v>
      </c>
      <c r="K217" s="7" t="s">
        <v>720</v>
      </c>
    </row>
    <row r="218" spans="1:14" ht="15" customHeight="1" x14ac:dyDescent="0.2">
      <c r="A218" s="63"/>
      <c r="B218" s="3"/>
      <c r="C218" s="3"/>
      <c r="D218" s="10">
        <v>44347</v>
      </c>
      <c r="E218" s="74"/>
      <c r="F218" s="2"/>
      <c r="G218" s="2"/>
      <c r="K218" s="7" t="s">
        <v>721</v>
      </c>
    </row>
    <row r="219" spans="1:14" ht="15" customHeight="1" x14ac:dyDescent="0.2">
      <c r="A219" s="63"/>
      <c r="B219" s="3"/>
      <c r="C219" s="3"/>
      <c r="D219" s="10">
        <v>44348</v>
      </c>
      <c r="E219" s="74"/>
      <c r="F219" s="2"/>
      <c r="G219" s="2"/>
      <c r="K219" s="7" t="s">
        <v>722</v>
      </c>
    </row>
    <row r="220" spans="1:14" ht="15" customHeight="1" x14ac:dyDescent="0.2">
      <c r="A220" s="63"/>
      <c r="B220" s="3"/>
      <c r="C220" s="3"/>
      <c r="D220" s="3">
        <v>44349</v>
      </c>
      <c r="E220" s="74"/>
      <c r="F220" s="2"/>
      <c r="G220" s="7" t="s">
        <v>185</v>
      </c>
      <c r="K220" s="7" t="s">
        <v>447</v>
      </c>
    </row>
    <row r="221" spans="1:14" ht="15" customHeight="1" x14ac:dyDescent="0.2">
      <c r="A221" s="63"/>
      <c r="B221" s="3"/>
      <c r="C221" s="3"/>
      <c r="D221" s="3"/>
      <c r="E221" s="74"/>
      <c r="F221" s="2"/>
      <c r="G221" s="7" t="s">
        <v>183</v>
      </c>
      <c r="K221" s="7" t="s">
        <v>366</v>
      </c>
    </row>
    <row r="222" spans="1:14" ht="15" customHeight="1" x14ac:dyDescent="0.2">
      <c r="A222" s="63"/>
      <c r="B222" s="3"/>
      <c r="C222" s="3"/>
      <c r="D222" s="10">
        <v>44350</v>
      </c>
      <c r="E222" s="74"/>
      <c r="F222" s="2"/>
      <c r="G222" s="2" t="s">
        <v>183</v>
      </c>
      <c r="H222" s="7" t="s">
        <v>184</v>
      </c>
      <c r="K222" s="7" t="s">
        <v>448</v>
      </c>
    </row>
    <row r="223" spans="1:14" ht="15" customHeight="1" x14ac:dyDescent="0.2">
      <c r="A223" s="63"/>
      <c r="B223" s="3"/>
      <c r="C223" s="3"/>
      <c r="D223" s="10">
        <v>44351</v>
      </c>
      <c r="E223" s="74"/>
      <c r="F223" s="2"/>
      <c r="G223" s="2"/>
      <c r="I223" s="9">
        <v>1</v>
      </c>
      <c r="K223" s="7" t="s">
        <v>714</v>
      </c>
    </row>
    <row r="224" spans="1:14" s="27" customFormat="1" ht="15" customHeight="1" x14ac:dyDescent="0.2">
      <c r="A224" s="23"/>
      <c r="B224" s="70">
        <v>44373</v>
      </c>
      <c r="C224" s="70"/>
      <c r="D224" s="24"/>
      <c r="E224" s="26" t="s">
        <v>449</v>
      </c>
      <c r="I224" s="23"/>
      <c r="K224" s="27" t="s">
        <v>364</v>
      </c>
      <c r="L224" s="25"/>
      <c r="M224" s="26"/>
      <c r="N224" s="23"/>
    </row>
    <row r="225" spans="1:14" ht="15" customHeight="1" x14ac:dyDescent="0.2">
      <c r="A225" s="62">
        <v>56</v>
      </c>
      <c r="B225" s="3">
        <v>44414</v>
      </c>
      <c r="C225" s="3">
        <v>44416</v>
      </c>
      <c r="D225" s="3">
        <v>44415</v>
      </c>
      <c r="E225" s="74" t="s">
        <v>450</v>
      </c>
      <c r="F225" s="2" t="s">
        <v>162</v>
      </c>
      <c r="G225" s="7" t="s">
        <v>166</v>
      </c>
      <c r="K225" s="7" t="s">
        <v>451</v>
      </c>
    </row>
    <row r="226" spans="1:14" ht="15" customHeight="1" x14ac:dyDescent="0.2">
      <c r="A226" s="63"/>
      <c r="B226" s="3"/>
      <c r="C226" s="3"/>
      <c r="D226" s="3"/>
      <c r="E226" s="74"/>
      <c r="F226" s="2"/>
      <c r="G226" s="7" t="s">
        <v>389</v>
      </c>
      <c r="K226" s="7" t="s">
        <v>418</v>
      </c>
    </row>
    <row r="227" spans="1:14" ht="15" customHeight="1" x14ac:dyDescent="0.2">
      <c r="A227" s="63"/>
      <c r="B227" s="3"/>
      <c r="C227" s="3"/>
      <c r="D227" s="10">
        <v>44416</v>
      </c>
      <c r="E227" s="74"/>
      <c r="F227" s="2"/>
      <c r="G227" s="7" t="s">
        <v>166</v>
      </c>
      <c r="K227" s="7" t="s">
        <v>452</v>
      </c>
    </row>
    <row r="228" spans="1:14" s="27" customFormat="1" ht="15" customHeight="1" x14ac:dyDescent="0.2">
      <c r="A228" s="23">
        <v>57</v>
      </c>
      <c r="B228" s="24">
        <v>44450</v>
      </c>
      <c r="C228" s="24">
        <v>44451</v>
      </c>
      <c r="D228" s="24">
        <v>44450</v>
      </c>
      <c r="E228" s="26" t="s">
        <v>450</v>
      </c>
      <c r="F228" s="27" t="s">
        <v>162</v>
      </c>
      <c r="G228" s="27" t="s">
        <v>166</v>
      </c>
      <c r="I228" s="23"/>
      <c r="K228" s="27" t="s">
        <v>351</v>
      </c>
      <c r="L228" s="25"/>
      <c r="M228" s="26"/>
      <c r="N228" s="23"/>
    </row>
    <row r="229" spans="1:14" ht="15" customHeight="1" x14ac:dyDescent="0.2">
      <c r="A229" s="63">
        <v>58</v>
      </c>
      <c r="B229" s="3">
        <v>44484</v>
      </c>
      <c r="C229" s="3">
        <v>44486</v>
      </c>
      <c r="D229" s="10">
        <v>44485</v>
      </c>
      <c r="E229" s="74" t="s">
        <v>450</v>
      </c>
      <c r="F229" s="2" t="s">
        <v>162</v>
      </c>
      <c r="G229" s="2" t="s">
        <v>166</v>
      </c>
      <c r="K229" s="7" t="s">
        <v>723</v>
      </c>
    </row>
    <row r="230" spans="1:14" ht="15" customHeight="1" x14ac:dyDescent="0.2">
      <c r="A230" s="63"/>
      <c r="B230" s="3"/>
      <c r="C230" s="3"/>
      <c r="D230" s="10">
        <v>44486</v>
      </c>
      <c r="E230" s="74"/>
      <c r="F230" s="2"/>
      <c r="G230" s="2"/>
      <c r="K230" s="7" t="s">
        <v>439</v>
      </c>
    </row>
    <row r="231" spans="1:14" s="27" customFormat="1" ht="15" customHeight="1" x14ac:dyDescent="0.2">
      <c r="A231" s="23"/>
      <c r="B231" s="70">
        <v>44492</v>
      </c>
      <c r="C231" s="70"/>
      <c r="D231" s="24"/>
      <c r="E231" s="26" t="s">
        <v>453</v>
      </c>
      <c r="I231" s="23"/>
      <c r="K231" s="27" t="s">
        <v>364</v>
      </c>
      <c r="L231" s="25"/>
      <c r="M231" s="26"/>
      <c r="N231" s="23"/>
    </row>
    <row r="232" spans="1:14" ht="15" customHeight="1" x14ac:dyDescent="0.2">
      <c r="A232" s="63">
        <v>59</v>
      </c>
      <c r="B232" s="3">
        <v>44521</v>
      </c>
      <c r="C232" s="3">
        <v>44530</v>
      </c>
      <c r="D232" s="10">
        <v>44522</v>
      </c>
      <c r="E232" s="74" t="s">
        <v>454</v>
      </c>
      <c r="F232" s="2" t="s">
        <v>162</v>
      </c>
      <c r="G232" s="2" t="s">
        <v>455</v>
      </c>
      <c r="H232" s="2" t="s">
        <v>456</v>
      </c>
      <c r="I232" s="9">
        <v>2</v>
      </c>
      <c r="K232" s="7" t="s">
        <v>457</v>
      </c>
    </row>
    <row r="233" spans="1:14" ht="15" customHeight="1" x14ac:dyDescent="0.2">
      <c r="A233" s="63"/>
      <c r="B233" s="3"/>
      <c r="C233" s="3"/>
      <c r="D233" s="10">
        <v>44523</v>
      </c>
      <c r="E233" s="74"/>
      <c r="F233" s="2"/>
      <c r="G233" s="2"/>
      <c r="H233" s="2"/>
      <c r="K233" s="7" t="s">
        <v>458</v>
      </c>
    </row>
    <row r="234" spans="1:14" ht="15" customHeight="1" x14ac:dyDescent="0.2">
      <c r="A234" s="63"/>
      <c r="B234" s="3"/>
      <c r="C234" s="3"/>
      <c r="D234" s="10">
        <v>44524</v>
      </c>
      <c r="E234" s="74"/>
      <c r="F234" s="2"/>
      <c r="G234" s="2"/>
      <c r="H234" s="2"/>
      <c r="K234" s="7" t="s">
        <v>459</v>
      </c>
    </row>
    <row r="235" spans="1:14" ht="15" customHeight="1" x14ac:dyDescent="0.2">
      <c r="A235" s="63"/>
      <c r="B235" s="3"/>
      <c r="C235" s="3"/>
      <c r="D235" s="10">
        <v>44526</v>
      </c>
      <c r="E235" s="74"/>
      <c r="F235" s="2"/>
      <c r="G235" s="2" t="s">
        <v>163</v>
      </c>
      <c r="H235" s="2" t="s">
        <v>323</v>
      </c>
      <c r="I235" s="9">
        <v>1</v>
      </c>
      <c r="K235" s="7" t="s">
        <v>724</v>
      </c>
    </row>
    <row r="236" spans="1:14" ht="15" customHeight="1" x14ac:dyDescent="0.2">
      <c r="A236" s="63"/>
      <c r="B236" s="3"/>
      <c r="C236" s="3"/>
      <c r="D236" s="10">
        <v>44527</v>
      </c>
      <c r="E236" s="74"/>
      <c r="F236" s="2"/>
      <c r="G236" s="2"/>
      <c r="H236" s="2"/>
      <c r="J236" s="7">
        <v>1</v>
      </c>
      <c r="K236" s="7" t="s">
        <v>725</v>
      </c>
    </row>
    <row r="237" spans="1:14" ht="15" customHeight="1" x14ac:dyDescent="0.2">
      <c r="A237" s="63"/>
      <c r="B237" s="3"/>
      <c r="C237" s="3"/>
      <c r="D237" s="10">
        <v>44528</v>
      </c>
      <c r="E237" s="74"/>
      <c r="F237" s="2"/>
      <c r="G237" s="2"/>
      <c r="H237" s="2"/>
      <c r="K237" s="7" t="s">
        <v>460</v>
      </c>
    </row>
    <row r="238" spans="1:14" ht="15" customHeight="1" x14ac:dyDescent="0.2">
      <c r="A238" s="63"/>
      <c r="B238" s="3"/>
      <c r="C238" s="3"/>
      <c r="D238" s="3">
        <v>44529</v>
      </c>
      <c r="E238" s="74"/>
      <c r="F238" s="2"/>
      <c r="G238" s="2"/>
      <c r="H238" s="7" t="s">
        <v>461</v>
      </c>
      <c r="K238" s="7" t="s">
        <v>462</v>
      </c>
    </row>
    <row r="239" spans="1:14" ht="15" customHeight="1" x14ac:dyDescent="0.2">
      <c r="A239" s="63"/>
      <c r="B239" s="3"/>
      <c r="C239" s="3"/>
      <c r="D239" s="3"/>
      <c r="E239" s="74"/>
      <c r="F239" s="2"/>
      <c r="G239" s="7" t="s">
        <v>463</v>
      </c>
      <c r="H239" s="7" t="s">
        <v>464</v>
      </c>
      <c r="I239" s="9">
        <v>1</v>
      </c>
      <c r="K239" s="7" t="s">
        <v>465</v>
      </c>
    </row>
    <row r="240" spans="1:14" s="20" customFormat="1" ht="15" customHeight="1" x14ac:dyDescent="0.2">
      <c r="A240" s="62">
        <v>60</v>
      </c>
      <c r="B240" s="61">
        <v>44546</v>
      </c>
      <c r="C240" s="61">
        <v>44549</v>
      </c>
      <c r="D240" s="16">
        <v>44547</v>
      </c>
      <c r="E240" s="76" t="s">
        <v>466</v>
      </c>
      <c r="F240" s="1" t="s">
        <v>162</v>
      </c>
      <c r="G240" s="20" t="s">
        <v>166</v>
      </c>
      <c r="H240" s="20" t="s">
        <v>467</v>
      </c>
      <c r="I240" s="21"/>
      <c r="K240" s="20" t="s">
        <v>468</v>
      </c>
      <c r="L240" s="17"/>
      <c r="M240" s="18"/>
      <c r="N240" s="21"/>
    </row>
    <row r="241" spans="1:14" ht="15" customHeight="1" x14ac:dyDescent="0.2">
      <c r="A241" s="63"/>
      <c r="B241" s="3"/>
      <c r="C241" s="3"/>
      <c r="D241" s="3">
        <v>44548</v>
      </c>
      <c r="E241" s="74"/>
      <c r="F241" s="2"/>
      <c r="G241" s="7" t="s">
        <v>373</v>
      </c>
      <c r="H241" s="7" t="s">
        <v>469</v>
      </c>
      <c r="K241" s="7" t="s">
        <v>470</v>
      </c>
    </row>
    <row r="242" spans="1:14" ht="15" customHeight="1" x14ac:dyDescent="0.2">
      <c r="A242" s="63"/>
      <c r="B242" s="3"/>
      <c r="C242" s="3"/>
      <c r="D242" s="3"/>
      <c r="E242" s="74"/>
      <c r="F242" s="2"/>
      <c r="G242" s="7" t="s">
        <v>389</v>
      </c>
      <c r="H242" s="7" t="s">
        <v>471</v>
      </c>
      <c r="K242" s="7" t="s">
        <v>472</v>
      </c>
    </row>
    <row r="243" spans="1:14" ht="15" customHeight="1" x14ac:dyDescent="0.2">
      <c r="A243" s="63"/>
      <c r="B243" s="3"/>
      <c r="C243" s="3"/>
      <c r="D243" s="10">
        <v>44549</v>
      </c>
      <c r="E243" s="74"/>
      <c r="F243" s="69"/>
      <c r="G243" s="7" t="s">
        <v>373</v>
      </c>
      <c r="H243" s="7" t="s">
        <v>374</v>
      </c>
      <c r="K243" s="7" t="s">
        <v>726</v>
      </c>
    </row>
    <row r="244" spans="1:14" s="20" customFormat="1" ht="15" customHeight="1" x14ac:dyDescent="0.2">
      <c r="A244" s="62">
        <v>61</v>
      </c>
      <c r="B244" s="61">
        <v>44559</v>
      </c>
      <c r="C244" s="61">
        <v>44562</v>
      </c>
      <c r="D244" s="16">
        <v>44560</v>
      </c>
      <c r="E244" s="73" t="s">
        <v>473</v>
      </c>
      <c r="F244" s="1" t="s">
        <v>152</v>
      </c>
      <c r="G244" s="1" t="s">
        <v>153</v>
      </c>
      <c r="H244" s="20" t="s">
        <v>474</v>
      </c>
      <c r="I244" s="21"/>
      <c r="K244" s="20" t="s">
        <v>475</v>
      </c>
      <c r="L244" s="17"/>
      <c r="M244" s="18"/>
      <c r="N244" s="21"/>
    </row>
    <row r="245" spans="1:14" ht="15" customHeight="1" x14ac:dyDescent="0.2">
      <c r="A245" s="63"/>
      <c r="B245" s="3"/>
      <c r="C245" s="3"/>
      <c r="D245" s="10">
        <v>44561</v>
      </c>
      <c r="E245" s="74"/>
      <c r="F245" s="2"/>
      <c r="G245" s="2"/>
      <c r="H245" s="7" t="s">
        <v>476</v>
      </c>
      <c r="K245" s="7" t="s">
        <v>477</v>
      </c>
    </row>
    <row r="246" spans="1:14" s="32" customFormat="1" ht="15" customHeight="1" x14ac:dyDescent="0.2">
      <c r="A246" s="64"/>
      <c r="B246" s="65"/>
      <c r="C246" s="65"/>
      <c r="D246" s="31">
        <v>44562</v>
      </c>
      <c r="E246" s="75"/>
      <c r="F246" s="69"/>
      <c r="G246" s="69"/>
      <c r="H246" s="32" t="s">
        <v>478</v>
      </c>
      <c r="I246" s="38"/>
      <c r="K246" s="32" t="s">
        <v>479</v>
      </c>
      <c r="L246" s="40"/>
      <c r="M246" s="41"/>
      <c r="N246" s="38"/>
    </row>
    <row r="247" spans="1:14" ht="15" customHeight="1" x14ac:dyDescent="0.2">
      <c r="B247" s="67">
        <v>44565</v>
      </c>
      <c r="C247" s="67"/>
      <c r="D247" s="10">
        <v>44565</v>
      </c>
      <c r="E247" s="6" t="s">
        <v>473</v>
      </c>
      <c r="F247" s="7" t="s">
        <v>152</v>
      </c>
      <c r="G247" s="7" t="s">
        <v>157</v>
      </c>
      <c r="H247" s="7" t="s">
        <v>188</v>
      </c>
      <c r="I247" s="9">
        <v>2</v>
      </c>
      <c r="K247" s="7" t="s">
        <v>480</v>
      </c>
    </row>
    <row r="248" spans="1:14" s="20" customFormat="1" ht="15" customHeight="1" x14ac:dyDescent="0.2">
      <c r="A248" s="62">
        <v>62</v>
      </c>
      <c r="B248" s="61">
        <v>44616</v>
      </c>
      <c r="C248" s="61">
        <v>44619</v>
      </c>
      <c r="D248" s="61">
        <v>44617</v>
      </c>
      <c r="E248" s="76" t="s">
        <v>481</v>
      </c>
      <c r="F248" s="1" t="s">
        <v>162</v>
      </c>
      <c r="G248" s="20" t="s">
        <v>373</v>
      </c>
      <c r="H248" s="20" t="s">
        <v>482</v>
      </c>
      <c r="I248" s="21"/>
      <c r="K248" s="20" t="s">
        <v>483</v>
      </c>
      <c r="L248" s="17"/>
      <c r="M248" s="18"/>
      <c r="N248" s="21"/>
    </row>
    <row r="249" spans="1:14" ht="15" customHeight="1" x14ac:dyDescent="0.2">
      <c r="A249" s="63"/>
      <c r="B249" s="3"/>
      <c r="C249" s="3"/>
      <c r="D249" s="3"/>
      <c r="E249" s="74"/>
      <c r="F249" s="2"/>
      <c r="G249" s="7" t="s">
        <v>484</v>
      </c>
      <c r="H249" s="7" t="s">
        <v>485</v>
      </c>
      <c r="K249" s="7" t="s">
        <v>486</v>
      </c>
    </row>
    <row r="250" spans="1:14" ht="15" customHeight="1" x14ac:dyDescent="0.2">
      <c r="A250" s="63"/>
      <c r="B250" s="3"/>
      <c r="C250" s="3"/>
      <c r="D250" s="10">
        <v>44618</v>
      </c>
      <c r="E250" s="74"/>
      <c r="F250" s="2"/>
      <c r="G250" s="7" t="s">
        <v>389</v>
      </c>
      <c r="K250" s="7" t="s">
        <v>487</v>
      </c>
    </row>
    <row r="251" spans="1:14" s="32" customFormat="1" ht="15" customHeight="1" x14ac:dyDescent="0.2">
      <c r="A251" s="64"/>
      <c r="B251" s="65"/>
      <c r="C251" s="65"/>
      <c r="D251" s="31">
        <v>44619</v>
      </c>
      <c r="E251" s="75"/>
      <c r="F251" s="69"/>
      <c r="G251" s="32" t="s">
        <v>166</v>
      </c>
      <c r="I251" s="38"/>
      <c r="K251" s="32" t="s">
        <v>419</v>
      </c>
      <c r="L251" s="40"/>
      <c r="M251" s="41"/>
      <c r="N251" s="38"/>
    </row>
    <row r="252" spans="1:14" ht="15" customHeight="1" x14ac:dyDescent="0.2">
      <c r="B252" s="10">
        <v>44651</v>
      </c>
      <c r="C252" s="10">
        <v>44655</v>
      </c>
      <c r="E252" s="6" t="s">
        <v>454</v>
      </c>
      <c r="F252" s="7" t="s">
        <v>152</v>
      </c>
      <c r="G252" s="7" t="s">
        <v>153</v>
      </c>
      <c r="H252" s="7" t="s">
        <v>154</v>
      </c>
      <c r="I252" s="9">
        <v>2</v>
      </c>
      <c r="K252" s="7" t="s">
        <v>159</v>
      </c>
    </row>
    <row r="253" spans="1:14" s="20" customFormat="1" ht="15" customHeight="1" x14ac:dyDescent="0.2">
      <c r="A253" s="62">
        <v>63</v>
      </c>
      <c r="B253" s="61">
        <v>44707</v>
      </c>
      <c r="C253" s="61">
        <v>44713</v>
      </c>
      <c r="D253" s="16">
        <v>44707</v>
      </c>
      <c r="E253" s="73" t="s">
        <v>454</v>
      </c>
      <c r="F253" s="1" t="s">
        <v>162</v>
      </c>
      <c r="G253" s="1" t="s">
        <v>353</v>
      </c>
      <c r="I253" s="21">
        <v>2</v>
      </c>
      <c r="K253" s="20" t="s">
        <v>488</v>
      </c>
      <c r="L253" s="17"/>
      <c r="M253" s="18"/>
      <c r="N253" s="21"/>
    </row>
    <row r="254" spans="1:14" ht="15" customHeight="1" x14ac:dyDescent="0.2">
      <c r="A254" s="63"/>
      <c r="B254" s="3"/>
      <c r="C254" s="3"/>
      <c r="D254" s="3">
        <v>44708</v>
      </c>
      <c r="E254" s="74"/>
      <c r="F254" s="2"/>
      <c r="G254" s="2"/>
      <c r="J254" s="7">
        <v>1</v>
      </c>
      <c r="K254" s="7" t="s">
        <v>489</v>
      </c>
    </row>
    <row r="255" spans="1:14" ht="15" customHeight="1" x14ac:dyDescent="0.2">
      <c r="A255" s="63"/>
      <c r="B255" s="3"/>
      <c r="C255" s="3"/>
      <c r="D255" s="3"/>
      <c r="E255" s="74"/>
      <c r="F255" s="2"/>
      <c r="G255" s="2" t="s">
        <v>381</v>
      </c>
      <c r="K255" s="7" t="s">
        <v>490</v>
      </c>
    </row>
    <row r="256" spans="1:14" ht="15" customHeight="1" x14ac:dyDescent="0.2">
      <c r="A256" s="63"/>
      <c r="B256" s="3"/>
      <c r="C256" s="3"/>
      <c r="D256" s="3">
        <v>44709</v>
      </c>
      <c r="E256" s="74"/>
      <c r="F256" s="2"/>
      <c r="G256" s="2"/>
      <c r="H256" s="7" t="s">
        <v>491</v>
      </c>
      <c r="K256" s="7" t="s">
        <v>492</v>
      </c>
    </row>
    <row r="257" spans="1:14" ht="15" customHeight="1" x14ac:dyDescent="0.2">
      <c r="A257" s="63"/>
      <c r="B257" s="3"/>
      <c r="C257" s="3"/>
      <c r="D257" s="3"/>
      <c r="E257" s="74"/>
      <c r="F257" s="2"/>
      <c r="G257" s="2" t="s">
        <v>353</v>
      </c>
      <c r="K257" s="7" t="s">
        <v>727</v>
      </c>
    </row>
    <row r="258" spans="1:14" ht="15" customHeight="1" x14ac:dyDescent="0.2">
      <c r="A258" s="63"/>
      <c r="B258" s="3"/>
      <c r="C258" s="3"/>
      <c r="D258" s="10">
        <v>44711</v>
      </c>
      <c r="E258" s="74"/>
      <c r="F258" s="2"/>
      <c r="G258" s="2"/>
      <c r="H258" s="7" t="s">
        <v>493</v>
      </c>
      <c r="K258" s="7" t="s">
        <v>728</v>
      </c>
    </row>
    <row r="259" spans="1:14" ht="15" customHeight="1" x14ac:dyDescent="0.2">
      <c r="A259" s="63"/>
      <c r="B259" s="3"/>
      <c r="C259" s="3"/>
      <c r="D259" s="3">
        <v>44712</v>
      </c>
      <c r="E259" s="74"/>
      <c r="F259" s="2"/>
      <c r="G259" s="2"/>
      <c r="K259" s="7" t="s">
        <v>494</v>
      </c>
    </row>
    <row r="260" spans="1:14" ht="15" customHeight="1" x14ac:dyDescent="0.2">
      <c r="A260" s="63"/>
      <c r="B260" s="3"/>
      <c r="C260" s="3"/>
      <c r="D260" s="3"/>
      <c r="E260" s="74"/>
      <c r="F260" s="2"/>
      <c r="G260" s="2"/>
      <c r="H260" s="2" t="s">
        <v>356</v>
      </c>
      <c r="K260" s="7" t="s">
        <v>357</v>
      </c>
    </row>
    <row r="261" spans="1:14" s="32" customFormat="1" ht="15" customHeight="1" x14ac:dyDescent="0.2">
      <c r="A261" s="64"/>
      <c r="B261" s="65"/>
      <c r="C261" s="65"/>
      <c r="D261" s="31">
        <v>44713</v>
      </c>
      <c r="E261" s="75"/>
      <c r="F261" s="69"/>
      <c r="G261" s="69"/>
      <c r="H261" s="69"/>
      <c r="I261" s="38">
        <v>2</v>
      </c>
      <c r="K261" s="32" t="s">
        <v>495</v>
      </c>
      <c r="L261" s="40"/>
      <c r="M261" s="41"/>
      <c r="N261" s="38"/>
    </row>
    <row r="262" spans="1:14" ht="15" customHeight="1" x14ac:dyDescent="0.2">
      <c r="A262" s="62">
        <v>64</v>
      </c>
      <c r="B262" s="61">
        <v>44716</v>
      </c>
      <c r="C262" s="61">
        <v>44739</v>
      </c>
      <c r="D262" s="10">
        <v>44731</v>
      </c>
      <c r="E262" s="84" t="s">
        <v>496</v>
      </c>
      <c r="F262" s="1" t="s">
        <v>152</v>
      </c>
      <c r="G262" s="1" t="s">
        <v>153</v>
      </c>
      <c r="H262" s="1" t="s">
        <v>478</v>
      </c>
      <c r="I262" s="9">
        <v>1</v>
      </c>
      <c r="K262" s="7" t="s">
        <v>497</v>
      </c>
    </row>
    <row r="263" spans="1:14" ht="15" customHeight="1" x14ac:dyDescent="0.2">
      <c r="A263" s="64"/>
      <c r="B263" s="3"/>
      <c r="C263" s="3"/>
      <c r="D263" s="10">
        <v>44732</v>
      </c>
      <c r="E263" s="80"/>
      <c r="F263" s="2"/>
      <c r="G263" s="2"/>
      <c r="H263" s="2"/>
      <c r="I263" s="9">
        <v>1</v>
      </c>
      <c r="K263" s="7" t="s">
        <v>498</v>
      </c>
    </row>
    <row r="264" spans="1:14" s="20" customFormat="1" ht="15" customHeight="1" x14ac:dyDescent="0.2">
      <c r="A264" s="62">
        <v>65</v>
      </c>
      <c r="B264" s="61">
        <v>44743</v>
      </c>
      <c r="C264" s="61">
        <v>44746</v>
      </c>
      <c r="D264" s="61">
        <v>44744</v>
      </c>
      <c r="E264" s="1" t="s">
        <v>454</v>
      </c>
      <c r="F264" s="1" t="s">
        <v>162</v>
      </c>
      <c r="G264" s="20" t="s">
        <v>353</v>
      </c>
      <c r="I264" s="21">
        <v>1</v>
      </c>
      <c r="K264" s="20" t="s">
        <v>499</v>
      </c>
      <c r="L264" s="17"/>
      <c r="M264" s="18"/>
      <c r="N264" s="21"/>
    </row>
    <row r="265" spans="1:14" ht="15" customHeight="1" x14ac:dyDescent="0.2">
      <c r="A265" s="63"/>
      <c r="B265" s="3"/>
      <c r="C265" s="3"/>
      <c r="D265" s="3"/>
      <c r="E265" s="2"/>
      <c r="F265" s="2"/>
      <c r="G265" s="2" t="s">
        <v>185</v>
      </c>
      <c r="K265" s="7" t="s">
        <v>500</v>
      </c>
    </row>
    <row r="266" spans="1:14" ht="15" customHeight="1" x14ac:dyDescent="0.2">
      <c r="A266" s="63"/>
      <c r="B266" s="3"/>
      <c r="C266" s="3"/>
      <c r="D266" s="10">
        <v>44745</v>
      </c>
      <c r="E266" s="2"/>
      <c r="F266" s="2"/>
      <c r="G266" s="2"/>
      <c r="K266" s="7" t="s">
        <v>729</v>
      </c>
    </row>
    <row r="267" spans="1:14" s="32" customFormat="1" ht="15" customHeight="1" x14ac:dyDescent="0.2">
      <c r="A267" s="64"/>
      <c r="B267" s="65"/>
      <c r="C267" s="65"/>
      <c r="D267" s="31">
        <v>44746</v>
      </c>
      <c r="E267" s="69"/>
      <c r="F267" s="69"/>
      <c r="G267" s="69"/>
      <c r="I267" s="38">
        <v>1</v>
      </c>
      <c r="K267" s="32" t="s">
        <v>730</v>
      </c>
      <c r="L267" s="40"/>
      <c r="M267" s="41"/>
      <c r="N267" s="38"/>
    </row>
    <row r="268" spans="1:14" s="27" customFormat="1" ht="15" customHeight="1" x14ac:dyDescent="0.2">
      <c r="A268" s="23"/>
      <c r="B268" s="24">
        <v>44781</v>
      </c>
      <c r="C268" s="24">
        <v>44790</v>
      </c>
      <c r="D268" s="24"/>
      <c r="E268" s="26" t="s">
        <v>454</v>
      </c>
      <c r="F268" s="27" t="s">
        <v>152</v>
      </c>
      <c r="G268" s="27" t="s">
        <v>153</v>
      </c>
      <c r="H268" s="27" t="s">
        <v>154</v>
      </c>
      <c r="I268" s="23">
        <v>2</v>
      </c>
      <c r="K268" s="27" t="s">
        <v>501</v>
      </c>
      <c r="L268" s="25"/>
      <c r="M268" s="26"/>
      <c r="N268" s="23"/>
    </row>
    <row r="269" spans="1:14" ht="15" customHeight="1" x14ac:dyDescent="0.2">
      <c r="A269" s="62">
        <v>66</v>
      </c>
      <c r="B269" s="61">
        <v>44801</v>
      </c>
      <c r="C269" s="61">
        <v>44807</v>
      </c>
      <c r="D269" s="61">
        <v>44802</v>
      </c>
      <c r="E269" s="73" t="s">
        <v>454</v>
      </c>
      <c r="F269" s="1" t="s">
        <v>162</v>
      </c>
      <c r="G269" s="7" t="s">
        <v>377</v>
      </c>
      <c r="I269" s="9">
        <v>1</v>
      </c>
      <c r="K269" s="7" t="s">
        <v>502</v>
      </c>
    </row>
    <row r="270" spans="1:14" ht="15" customHeight="1" x14ac:dyDescent="0.2">
      <c r="A270" s="63"/>
      <c r="B270" s="3"/>
      <c r="C270" s="3"/>
      <c r="D270" s="3"/>
      <c r="E270" s="74"/>
      <c r="F270" s="2"/>
      <c r="G270" s="2" t="s">
        <v>375</v>
      </c>
      <c r="K270" s="7" t="s">
        <v>503</v>
      </c>
    </row>
    <row r="271" spans="1:14" ht="15" customHeight="1" x14ac:dyDescent="0.2">
      <c r="A271" s="63"/>
      <c r="B271" s="3"/>
      <c r="C271" s="3"/>
      <c r="D271" s="3">
        <v>44803</v>
      </c>
      <c r="E271" s="74"/>
      <c r="F271" s="2"/>
      <c r="G271" s="2"/>
      <c r="K271" s="7" t="s">
        <v>504</v>
      </c>
    </row>
    <row r="272" spans="1:14" ht="15" customHeight="1" x14ac:dyDescent="0.2">
      <c r="A272" s="63"/>
      <c r="B272" s="3"/>
      <c r="C272" s="3"/>
      <c r="D272" s="3"/>
      <c r="E272" s="74"/>
      <c r="F272" s="2"/>
      <c r="G272" s="7" t="s">
        <v>505</v>
      </c>
      <c r="K272" s="7" t="s">
        <v>506</v>
      </c>
    </row>
    <row r="273" spans="1:14" ht="15" customHeight="1" x14ac:dyDescent="0.2">
      <c r="A273" s="63"/>
      <c r="B273" s="3"/>
      <c r="C273" s="3"/>
      <c r="D273" s="10">
        <v>44804</v>
      </c>
      <c r="E273" s="74"/>
      <c r="F273" s="2"/>
      <c r="G273" s="2" t="s">
        <v>377</v>
      </c>
      <c r="H273" s="2" t="s">
        <v>507</v>
      </c>
      <c r="K273" s="7" t="s">
        <v>508</v>
      </c>
    </row>
    <row r="274" spans="1:14" ht="15" customHeight="1" x14ac:dyDescent="0.2">
      <c r="A274" s="63"/>
      <c r="B274" s="3"/>
      <c r="C274" s="3"/>
      <c r="D274" s="10">
        <v>44805</v>
      </c>
      <c r="E274" s="74"/>
      <c r="F274" s="2"/>
      <c r="G274" s="2"/>
      <c r="H274" s="2"/>
      <c r="K274" s="7" t="s">
        <v>731</v>
      </c>
    </row>
    <row r="275" spans="1:14" ht="15" customHeight="1" x14ac:dyDescent="0.2">
      <c r="A275" s="63"/>
      <c r="B275" s="3"/>
      <c r="C275" s="3"/>
      <c r="D275" s="10">
        <v>44807</v>
      </c>
      <c r="E275" s="74"/>
      <c r="F275" s="2"/>
      <c r="G275" s="2"/>
      <c r="H275" s="2"/>
      <c r="I275" s="9">
        <v>1</v>
      </c>
      <c r="K275" s="7" t="s">
        <v>502</v>
      </c>
    </row>
    <row r="276" spans="1:14" s="20" customFormat="1" ht="15" customHeight="1" x14ac:dyDescent="0.2">
      <c r="A276" s="62"/>
      <c r="B276" s="61">
        <v>44820</v>
      </c>
      <c r="C276" s="61">
        <v>44823</v>
      </c>
      <c r="D276" s="61">
        <v>44820</v>
      </c>
      <c r="E276" s="73" t="s">
        <v>454</v>
      </c>
      <c r="F276" s="20" t="s">
        <v>162</v>
      </c>
      <c r="G276" s="20" t="s">
        <v>373</v>
      </c>
      <c r="H276" s="20" t="s">
        <v>509</v>
      </c>
      <c r="I276" s="21">
        <v>1</v>
      </c>
      <c r="K276" s="20" t="s">
        <v>510</v>
      </c>
      <c r="L276" s="17"/>
      <c r="M276" s="18"/>
      <c r="N276" s="21"/>
    </row>
    <row r="277" spans="1:14" ht="15" customHeight="1" x14ac:dyDescent="0.2">
      <c r="A277" s="64"/>
      <c r="B277" s="65"/>
      <c r="C277" s="65"/>
      <c r="D277" s="65"/>
      <c r="E277" s="75"/>
      <c r="F277" s="7" t="s">
        <v>152</v>
      </c>
      <c r="G277" s="7" t="s">
        <v>153</v>
      </c>
      <c r="H277" s="7" t="s">
        <v>154</v>
      </c>
      <c r="I277" s="9">
        <v>1</v>
      </c>
      <c r="K277" s="7" t="s">
        <v>501</v>
      </c>
    </row>
    <row r="278" spans="1:14" s="20" customFormat="1" ht="15" customHeight="1" x14ac:dyDescent="0.2">
      <c r="A278" s="62">
        <v>67</v>
      </c>
      <c r="B278" s="61">
        <v>44847</v>
      </c>
      <c r="C278" s="61">
        <v>44878</v>
      </c>
      <c r="D278" s="16">
        <v>44848</v>
      </c>
      <c r="E278" s="76" t="s">
        <v>511</v>
      </c>
      <c r="F278" s="20" t="s">
        <v>152</v>
      </c>
      <c r="G278" s="20" t="s">
        <v>153</v>
      </c>
      <c r="H278" s="20" t="s">
        <v>154</v>
      </c>
      <c r="I278" s="21"/>
      <c r="K278" s="20" t="s">
        <v>501</v>
      </c>
      <c r="L278" s="17"/>
      <c r="M278" s="18"/>
      <c r="N278" s="21"/>
    </row>
    <row r="279" spans="1:14" ht="15" customHeight="1" x14ac:dyDescent="0.2">
      <c r="A279" s="63"/>
      <c r="B279" s="3"/>
      <c r="C279" s="3"/>
      <c r="D279" s="10">
        <v>44865</v>
      </c>
      <c r="E279" s="77"/>
      <c r="F279" s="2" t="s">
        <v>162</v>
      </c>
      <c r="G279" s="7" t="s">
        <v>373</v>
      </c>
      <c r="H279" s="7" t="s">
        <v>509</v>
      </c>
      <c r="K279" s="7" t="s">
        <v>501</v>
      </c>
    </row>
    <row r="280" spans="1:14" ht="15" customHeight="1" x14ac:dyDescent="0.2">
      <c r="A280" s="63"/>
      <c r="B280" s="3"/>
      <c r="C280" s="3"/>
      <c r="D280" s="10">
        <v>44877</v>
      </c>
      <c r="E280" s="77"/>
      <c r="F280" s="2"/>
      <c r="G280" s="7" t="s">
        <v>484</v>
      </c>
      <c r="K280" s="7" t="s">
        <v>732</v>
      </c>
    </row>
    <row r="281" spans="1:14" s="27" customFormat="1" ht="15" customHeight="1" x14ac:dyDescent="0.2">
      <c r="A281" s="23"/>
      <c r="B281" s="24">
        <v>44888</v>
      </c>
      <c r="C281" s="24">
        <v>44889</v>
      </c>
      <c r="D281" s="24"/>
      <c r="E281" s="26" t="s">
        <v>512</v>
      </c>
      <c r="I281" s="23"/>
      <c r="K281" s="27" t="s">
        <v>364</v>
      </c>
      <c r="L281" s="25"/>
      <c r="M281" s="26"/>
      <c r="N281" s="23"/>
    </row>
    <row r="282" spans="1:14" s="20" customFormat="1" ht="15" customHeight="1" x14ac:dyDescent="0.2">
      <c r="A282" s="62">
        <v>68</v>
      </c>
      <c r="B282" s="61">
        <v>44891</v>
      </c>
      <c r="C282" s="61">
        <v>44897</v>
      </c>
      <c r="D282" s="16">
        <v>44891</v>
      </c>
      <c r="E282" s="73" t="s">
        <v>513</v>
      </c>
      <c r="F282" s="1" t="s">
        <v>238</v>
      </c>
      <c r="G282" s="1" t="s">
        <v>239</v>
      </c>
      <c r="H282" s="1" t="s">
        <v>514</v>
      </c>
      <c r="I282" s="21">
        <v>1</v>
      </c>
      <c r="K282" s="20" t="s">
        <v>515</v>
      </c>
      <c r="L282" s="17"/>
      <c r="M282" s="18"/>
      <c r="N282" s="21"/>
    </row>
    <row r="283" spans="1:14" ht="15" customHeight="1" x14ac:dyDescent="0.2">
      <c r="A283" s="63"/>
      <c r="B283" s="3"/>
      <c r="C283" s="3"/>
      <c r="D283" s="10">
        <v>44892</v>
      </c>
      <c r="E283" s="74"/>
      <c r="F283" s="2"/>
      <c r="G283" s="2"/>
      <c r="H283" s="2"/>
      <c r="K283" s="7" t="s">
        <v>516</v>
      </c>
    </row>
    <row r="284" spans="1:14" ht="15" customHeight="1" x14ac:dyDescent="0.2">
      <c r="A284" s="63"/>
      <c r="B284" s="3"/>
      <c r="C284" s="3"/>
      <c r="D284" s="10">
        <v>44893</v>
      </c>
      <c r="E284" s="74"/>
      <c r="F284" s="2"/>
      <c r="G284" s="2"/>
      <c r="H284" s="2"/>
      <c r="K284" s="7" t="s">
        <v>517</v>
      </c>
    </row>
    <row r="285" spans="1:14" ht="15" customHeight="1" x14ac:dyDescent="0.2">
      <c r="A285" s="63"/>
      <c r="B285" s="3"/>
      <c r="C285" s="3"/>
      <c r="D285" s="10">
        <v>44894</v>
      </c>
      <c r="E285" s="74"/>
      <c r="F285" s="2"/>
      <c r="G285" s="2"/>
      <c r="H285" s="2"/>
      <c r="K285" s="7" t="s">
        <v>518</v>
      </c>
    </row>
    <row r="286" spans="1:14" ht="15" customHeight="1" x14ac:dyDescent="0.2">
      <c r="A286" s="63"/>
      <c r="B286" s="3"/>
      <c r="C286" s="3"/>
      <c r="D286" s="10">
        <v>44895</v>
      </c>
      <c r="E286" s="74"/>
      <c r="F286" s="2"/>
      <c r="G286" s="2"/>
      <c r="H286" s="2" t="s">
        <v>240</v>
      </c>
      <c r="K286" s="7" t="s">
        <v>519</v>
      </c>
    </row>
    <row r="287" spans="1:14" ht="15" customHeight="1" x14ac:dyDescent="0.2">
      <c r="A287" s="63"/>
      <c r="B287" s="3"/>
      <c r="C287" s="3"/>
      <c r="D287" s="10">
        <v>44896</v>
      </c>
      <c r="E287" s="74"/>
      <c r="F287" s="2"/>
      <c r="G287" s="2"/>
      <c r="H287" s="2"/>
      <c r="K287" s="7" t="s">
        <v>520</v>
      </c>
    </row>
    <row r="288" spans="1:14" s="32" customFormat="1" ht="15" customHeight="1" x14ac:dyDescent="0.2">
      <c r="A288" s="64"/>
      <c r="B288" s="65"/>
      <c r="C288" s="65"/>
      <c r="D288" s="31">
        <v>44897</v>
      </c>
      <c r="E288" s="75"/>
      <c r="F288" s="69"/>
      <c r="G288" s="69"/>
      <c r="H288" s="69"/>
      <c r="I288" s="38">
        <v>1</v>
      </c>
      <c r="K288" s="32" t="s">
        <v>521</v>
      </c>
      <c r="L288" s="40"/>
      <c r="M288" s="41"/>
      <c r="N288" s="38"/>
    </row>
    <row r="289" spans="1:14" s="20" customFormat="1" ht="15" customHeight="1" x14ac:dyDescent="0.2">
      <c r="A289" s="21"/>
      <c r="B289" s="66">
        <v>44916</v>
      </c>
      <c r="C289" s="66"/>
      <c r="D289" s="16"/>
      <c r="E289" s="18" t="s">
        <v>513</v>
      </c>
      <c r="F289" s="20" t="s">
        <v>162</v>
      </c>
      <c r="G289" s="20" t="s">
        <v>166</v>
      </c>
      <c r="H289" s="20" t="s">
        <v>330</v>
      </c>
      <c r="I289" s="21">
        <v>2</v>
      </c>
      <c r="K289" s="20" t="s">
        <v>331</v>
      </c>
      <c r="L289" s="17"/>
      <c r="M289" s="18"/>
      <c r="N289" s="21"/>
    </row>
    <row r="290" spans="1:14" s="20" customFormat="1" ht="15" customHeight="1" x14ac:dyDescent="0.2">
      <c r="A290" s="62">
        <v>69</v>
      </c>
      <c r="B290" s="61">
        <v>44935</v>
      </c>
      <c r="C290" s="71">
        <v>44942</v>
      </c>
      <c r="D290" s="16">
        <v>44935</v>
      </c>
      <c r="E290" s="18" t="s">
        <v>513</v>
      </c>
      <c r="F290" s="20" t="s">
        <v>162</v>
      </c>
      <c r="G290" s="20" t="s">
        <v>166</v>
      </c>
      <c r="H290" s="20" t="s">
        <v>330</v>
      </c>
      <c r="I290" s="21">
        <v>1</v>
      </c>
      <c r="K290" s="20" t="s">
        <v>331</v>
      </c>
      <c r="L290" s="17"/>
      <c r="M290" s="18"/>
      <c r="N290" s="21"/>
    </row>
    <row r="291" spans="1:14" ht="15" customHeight="1" x14ac:dyDescent="0.2">
      <c r="A291" s="63"/>
      <c r="B291" s="3"/>
      <c r="C291" s="72"/>
      <c r="D291" s="10">
        <v>44941</v>
      </c>
      <c r="E291" s="74" t="s">
        <v>513</v>
      </c>
      <c r="F291" s="2" t="s">
        <v>162</v>
      </c>
      <c r="G291" s="2" t="s">
        <v>185</v>
      </c>
      <c r="H291" s="2" t="s">
        <v>432</v>
      </c>
      <c r="I291" s="9">
        <v>1</v>
      </c>
      <c r="K291" s="7" t="s">
        <v>733</v>
      </c>
    </row>
    <row r="292" spans="1:14" ht="15" customHeight="1" x14ac:dyDescent="0.2">
      <c r="A292" s="64"/>
      <c r="B292" s="65"/>
      <c r="C292" s="78"/>
      <c r="D292" s="10">
        <v>44942</v>
      </c>
      <c r="E292" s="74"/>
      <c r="F292" s="2"/>
      <c r="G292" s="2"/>
      <c r="H292" s="2"/>
      <c r="I292" s="9">
        <v>1</v>
      </c>
      <c r="K292" s="7" t="s">
        <v>734</v>
      </c>
    </row>
    <row r="293" spans="1:14" s="27" customFormat="1" ht="15" customHeight="1" x14ac:dyDescent="0.2">
      <c r="A293" s="23"/>
      <c r="B293" s="24">
        <v>44961</v>
      </c>
      <c r="C293" s="24">
        <v>44962</v>
      </c>
      <c r="E293" s="26" t="s">
        <v>513</v>
      </c>
      <c r="F293" s="27" t="s">
        <v>152</v>
      </c>
      <c r="G293" s="27" t="s">
        <v>153</v>
      </c>
      <c r="H293" s="27" t="s">
        <v>154</v>
      </c>
      <c r="I293" s="23"/>
      <c r="K293" s="27" t="s">
        <v>522</v>
      </c>
      <c r="L293" s="25"/>
      <c r="M293" s="26"/>
      <c r="N293" s="23"/>
    </row>
    <row r="294" spans="1:14" s="27" customFormat="1" ht="15" customHeight="1" x14ac:dyDescent="0.2">
      <c r="A294" s="23"/>
      <c r="B294" s="24">
        <v>44975</v>
      </c>
      <c r="C294" s="24">
        <v>44977</v>
      </c>
      <c r="D294" s="24"/>
      <c r="E294" s="26" t="s">
        <v>513</v>
      </c>
      <c r="F294" s="27" t="s">
        <v>152</v>
      </c>
      <c r="G294" s="27" t="s">
        <v>153</v>
      </c>
      <c r="H294" s="27" t="s">
        <v>154</v>
      </c>
      <c r="I294" s="23"/>
      <c r="K294" s="27" t="s">
        <v>501</v>
      </c>
      <c r="L294" s="25"/>
      <c r="M294" s="26"/>
      <c r="N294" s="23"/>
    </row>
    <row r="295" spans="1:14" s="27" customFormat="1" ht="15" customHeight="1" x14ac:dyDescent="0.2">
      <c r="A295" s="23"/>
      <c r="B295" s="70">
        <v>44979</v>
      </c>
      <c r="C295" s="70"/>
      <c r="D295" s="24"/>
      <c r="E295" s="26" t="s">
        <v>513</v>
      </c>
      <c r="F295" s="27" t="s">
        <v>162</v>
      </c>
      <c r="G295" s="27" t="s">
        <v>166</v>
      </c>
      <c r="H295" s="27" t="s">
        <v>330</v>
      </c>
      <c r="I295" s="23">
        <v>2</v>
      </c>
      <c r="K295" s="27" t="s">
        <v>331</v>
      </c>
      <c r="L295" s="25"/>
      <c r="M295" s="26"/>
      <c r="N295" s="23"/>
    </row>
    <row r="296" spans="1:14" s="27" customFormat="1" ht="15" customHeight="1" x14ac:dyDescent="0.2">
      <c r="A296" s="23"/>
      <c r="B296" s="24">
        <v>45043</v>
      </c>
      <c r="C296" s="24">
        <v>45048</v>
      </c>
      <c r="D296" s="24"/>
      <c r="E296" s="26" t="s">
        <v>513</v>
      </c>
      <c r="F296" s="27" t="s">
        <v>152</v>
      </c>
      <c r="G296" s="27" t="s">
        <v>153</v>
      </c>
      <c r="H296" s="27" t="s">
        <v>154</v>
      </c>
      <c r="I296" s="23"/>
      <c r="K296" s="27" t="s">
        <v>523</v>
      </c>
      <c r="L296" s="25"/>
      <c r="M296" s="26"/>
      <c r="N296" s="23"/>
    </row>
    <row r="297" spans="1:14" s="32" customFormat="1" ht="15" customHeight="1" x14ac:dyDescent="0.2">
      <c r="A297" s="38"/>
      <c r="B297" s="31">
        <v>45072</v>
      </c>
      <c r="C297" s="31">
        <v>45075</v>
      </c>
      <c r="D297" s="31">
        <v>45073</v>
      </c>
      <c r="E297" s="41"/>
      <c r="F297" s="32" t="s">
        <v>152</v>
      </c>
      <c r="G297" s="32" t="s">
        <v>153</v>
      </c>
      <c r="H297" s="32" t="s">
        <v>154</v>
      </c>
      <c r="I297" s="38"/>
      <c r="K297" s="32" t="s">
        <v>524</v>
      </c>
      <c r="L297" s="40"/>
      <c r="M297" s="41"/>
      <c r="N297" s="38"/>
    </row>
    <row r="298" spans="1:14" s="27" customFormat="1" ht="15" customHeight="1" x14ac:dyDescent="0.2">
      <c r="A298" s="23"/>
      <c r="B298" s="24">
        <v>45139</v>
      </c>
      <c r="C298" s="24">
        <v>45155</v>
      </c>
      <c r="D298" s="24"/>
      <c r="E298" s="26" t="s">
        <v>525</v>
      </c>
      <c r="F298" s="27" t="s">
        <v>162</v>
      </c>
      <c r="G298" s="27" t="s">
        <v>166</v>
      </c>
      <c r="H298" s="27" t="s">
        <v>315</v>
      </c>
      <c r="I298" s="23"/>
      <c r="K298" s="27" t="s">
        <v>526</v>
      </c>
      <c r="L298" s="25"/>
      <c r="M298" s="26"/>
      <c r="N298" s="23"/>
    </row>
    <row r="299" spans="1:14" s="27" customFormat="1" ht="15" customHeight="1" x14ac:dyDescent="0.2">
      <c r="A299" s="23"/>
      <c r="B299" s="70">
        <v>45164</v>
      </c>
      <c r="C299" s="70"/>
      <c r="D299" s="24"/>
      <c r="E299" s="26" t="s">
        <v>527</v>
      </c>
      <c r="I299" s="23"/>
      <c r="K299" s="27" t="s">
        <v>364</v>
      </c>
      <c r="L299" s="25"/>
      <c r="M299" s="26"/>
      <c r="N299" s="23"/>
    </row>
    <row r="300" spans="1:14" s="32" customFormat="1" ht="15" customHeight="1" x14ac:dyDescent="0.2">
      <c r="A300" s="38"/>
      <c r="B300" s="68">
        <v>45203</v>
      </c>
      <c r="C300" s="68"/>
      <c r="D300" s="31"/>
      <c r="E300" s="41" t="s">
        <v>528</v>
      </c>
      <c r="F300" s="32" t="s">
        <v>162</v>
      </c>
      <c r="G300" s="32" t="s">
        <v>166</v>
      </c>
      <c r="H300" s="32" t="s">
        <v>330</v>
      </c>
      <c r="I300" s="38">
        <v>2</v>
      </c>
      <c r="K300" s="32" t="s">
        <v>331</v>
      </c>
      <c r="L300" s="40"/>
      <c r="M300" s="41"/>
      <c r="N300" s="38"/>
    </row>
    <row r="301" spans="1:14" s="32" customFormat="1" ht="15" customHeight="1" x14ac:dyDescent="0.2">
      <c r="A301" s="38"/>
      <c r="B301" s="39">
        <v>45217</v>
      </c>
      <c r="C301" s="39">
        <v>45218</v>
      </c>
      <c r="D301" s="31"/>
      <c r="E301" s="41" t="s">
        <v>528</v>
      </c>
      <c r="F301" s="32" t="s">
        <v>162</v>
      </c>
      <c r="G301" s="32" t="s">
        <v>166</v>
      </c>
      <c r="H301" s="32" t="s">
        <v>330</v>
      </c>
      <c r="I301" s="38">
        <v>2</v>
      </c>
      <c r="K301" s="32" t="s">
        <v>331</v>
      </c>
      <c r="L301" s="40"/>
      <c r="M301" s="41"/>
      <c r="N301" s="38"/>
    </row>
    <row r="302" spans="1:14" ht="15" customHeight="1" x14ac:dyDescent="0.2">
      <c r="A302" s="62">
        <v>70</v>
      </c>
      <c r="B302" s="71">
        <v>45253</v>
      </c>
      <c r="C302" s="71">
        <v>45259</v>
      </c>
      <c r="D302" s="10">
        <v>45254</v>
      </c>
      <c r="E302" s="73" t="s">
        <v>528</v>
      </c>
      <c r="F302" s="7" t="s">
        <v>15</v>
      </c>
      <c r="G302" s="7" t="s">
        <v>26</v>
      </c>
      <c r="I302" s="9">
        <v>1</v>
      </c>
      <c r="K302" s="7" t="s">
        <v>529</v>
      </c>
    </row>
    <row r="303" spans="1:14" ht="15" customHeight="1" x14ac:dyDescent="0.2">
      <c r="A303" s="64"/>
      <c r="B303" s="72"/>
      <c r="C303" s="72"/>
      <c r="D303" s="10">
        <v>45257</v>
      </c>
      <c r="E303" s="74"/>
      <c r="G303" s="7" t="s">
        <v>530</v>
      </c>
      <c r="H303" s="7" t="s">
        <v>531</v>
      </c>
      <c r="I303" s="9">
        <v>1</v>
      </c>
      <c r="K303" s="7" t="s">
        <v>529</v>
      </c>
    </row>
    <row r="304" spans="1:14" s="27" customFormat="1" ht="15" customHeight="1" x14ac:dyDescent="0.2">
      <c r="A304" s="23"/>
      <c r="B304" s="70">
        <v>45257</v>
      </c>
      <c r="C304" s="70"/>
      <c r="D304" s="24"/>
      <c r="E304" s="26" t="s">
        <v>532</v>
      </c>
      <c r="I304" s="23">
        <v>1</v>
      </c>
      <c r="K304" s="27" t="s">
        <v>533</v>
      </c>
      <c r="L304" s="25"/>
      <c r="M304" s="26"/>
      <c r="N304" s="23"/>
    </row>
    <row r="305" spans="1:14" ht="15" customHeight="1" x14ac:dyDescent="0.2">
      <c r="A305" s="62">
        <v>71</v>
      </c>
      <c r="B305" s="3">
        <v>45269</v>
      </c>
      <c r="C305" s="3">
        <v>45280</v>
      </c>
      <c r="D305" s="10">
        <v>45269</v>
      </c>
      <c r="E305" s="74" t="s">
        <v>14</v>
      </c>
      <c r="F305" s="2" t="s">
        <v>15</v>
      </c>
      <c r="G305" s="2" t="s">
        <v>530</v>
      </c>
      <c r="H305" s="7" t="s">
        <v>531</v>
      </c>
      <c r="I305" s="9">
        <v>1</v>
      </c>
      <c r="K305" s="7" t="s">
        <v>534</v>
      </c>
    </row>
    <row r="306" spans="1:14" ht="15" customHeight="1" x14ac:dyDescent="0.2">
      <c r="A306" s="63"/>
      <c r="B306" s="3"/>
      <c r="C306" s="3"/>
      <c r="D306" s="10">
        <v>45270</v>
      </c>
      <c r="E306" s="74"/>
      <c r="F306" s="2"/>
      <c r="G306" s="2"/>
      <c r="H306" s="7" t="s">
        <v>535</v>
      </c>
      <c r="K306" s="7" t="s">
        <v>536</v>
      </c>
    </row>
    <row r="307" spans="1:14" ht="15" customHeight="1" x14ac:dyDescent="0.2">
      <c r="A307" s="63"/>
      <c r="B307" s="3"/>
      <c r="C307" s="3"/>
      <c r="D307" s="10">
        <v>45274</v>
      </c>
      <c r="E307" s="74"/>
      <c r="F307" s="2"/>
      <c r="G307" s="2" t="s">
        <v>537</v>
      </c>
      <c r="H307" s="7" t="s">
        <v>538</v>
      </c>
      <c r="I307" s="9">
        <v>1</v>
      </c>
      <c r="K307" s="7" t="s">
        <v>539</v>
      </c>
    </row>
    <row r="308" spans="1:14" ht="15" customHeight="1" x14ac:dyDescent="0.2">
      <c r="A308" s="63"/>
      <c r="B308" s="3"/>
      <c r="C308" s="3"/>
      <c r="D308" s="10">
        <v>45275</v>
      </c>
      <c r="E308" s="74"/>
      <c r="F308" s="2"/>
      <c r="G308" s="2"/>
      <c r="H308" s="7" t="s">
        <v>540</v>
      </c>
      <c r="K308" s="7" t="s">
        <v>541</v>
      </c>
    </row>
    <row r="309" spans="1:14" ht="15" customHeight="1" x14ac:dyDescent="0.2">
      <c r="A309" s="63"/>
      <c r="B309" s="3"/>
      <c r="C309" s="3"/>
      <c r="D309" s="10">
        <v>45277</v>
      </c>
      <c r="E309" s="74"/>
      <c r="F309" s="2"/>
      <c r="G309" s="2" t="s">
        <v>542</v>
      </c>
      <c r="H309" s="7" t="s">
        <v>543</v>
      </c>
      <c r="K309" s="7" t="s">
        <v>544</v>
      </c>
    </row>
    <row r="310" spans="1:14" ht="15" customHeight="1" x14ac:dyDescent="0.2">
      <c r="A310" s="63"/>
      <c r="B310" s="3"/>
      <c r="C310" s="3"/>
      <c r="D310" s="10">
        <v>45279</v>
      </c>
      <c r="E310" s="74"/>
      <c r="F310" s="2"/>
      <c r="G310" s="2"/>
      <c r="H310" s="7" t="s">
        <v>545</v>
      </c>
      <c r="K310" s="7" t="s">
        <v>546</v>
      </c>
    </row>
    <row r="311" spans="1:14" ht="15" customHeight="1" x14ac:dyDescent="0.2">
      <c r="A311" s="64"/>
      <c r="B311" s="3"/>
      <c r="C311" s="3"/>
      <c r="D311" s="10">
        <v>45280</v>
      </c>
      <c r="E311" s="74"/>
      <c r="F311" s="2"/>
      <c r="G311" s="2"/>
      <c r="H311" s="7" t="s">
        <v>547</v>
      </c>
      <c r="I311" s="9">
        <v>1</v>
      </c>
      <c r="K311" s="7" t="s">
        <v>548</v>
      </c>
    </row>
    <row r="312" spans="1:14" s="27" customFormat="1" ht="15" customHeight="1" x14ac:dyDescent="0.2">
      <c r="A312" s="23"/>
      <c r="B312" s="70">
        <v>45286</v>
      </c>
      <c r="C312" s="70"/>
      <c r="D312" s="24"/>
      <c r="E312" s="26"/>
      <c r="F312" s="27" t="s">
        <v>15</v>
      </c>
      <c r="G312" s="27" t="s">
        <v>214</v>
      </c>
      <c r="I312" s="23"/>
      <c r="J312" s="27">
        <v>1</v>
      </c>
      <c r="K312" s="27" t="s">
        <v>549</v>
      </c>
      <c r="L312" s="25"/>
      <c r="M312" s="26"/>
      <c r="N312" s="23"/>
    </row>
    <row r="313" spans="1:14" s="27" customFormat="1" ht="15" customHeight="1" x14ac:dyDescent="0.2">
      <c r="A313" s="23"/>
      <c r="B313" s="70">
        <v>45290</v>
      </c>
      <c r="C313" s="70"/>
      <c r="D313" s="24"/>
      <c r="E313" s="26" t="s">
        <v>550</v>
      </c>
      <c r="I313" s="23">
        <v>2</v>
      </c>
      <c r="K313" s="27" t="s">
        <v>551</v>
      </c>
      <c r="L313" s="25"/>
      <c r="M313" s="26"/>
      <c r="N313" s="23"/>
    </row>
    <row r="314" spans="1:14" s="27" customFormat="1" ht="15" customHeight="1" x14ac:dyDescent="0.2">
      <c r="A314" s="23"/>
      <c r="B314" s="24">
        <v>45346</v>
      </c>
      <c r="C314" s="24">
        <v>45360</v>
      </c>
      <c r="D314" s="24"/>
      <c r="E314" s="26" t="s">
        <v>525</v>
      </c>
      <c r="F314" s="27" t="s">
        <v>162</v>
      </c>
      <c r="G314" s="27" t="s">
        <v>166</v>
      </c>
      <c r="H314" s="27" t="s">
        <v>315</v>
      </c>
      <c r="I314" s="23"/>
      <c r="K314" s="27" t="s">
        <v>526</v>
      </c>
      <c r="L314" s="25"/>
      <c r="M314" s="26"/>
      <c r="N314" s="23"/>
    </row>
    <row r="315" spans="1:14" ht="15" customHeight="1" x14ac:dyDescent="0.2">
      <c r="A315" s="62">
        <v>72</v>
      </c>
      <c r="B315" s="3">
        <v>45433</v>
      </c>
      <c r="C315" s="3">
        <v>45439</v>
      </c>
      <c r="D315" s="3">
        <v>45434</v>
      </c>
      <c r="E315" s="74" t="s">
        <v>528</v>
      </c>
      <c r="F315" s="2" t="s">
        <v>162</v>
      </c>
      <c r="G315" s="7" t="s">
        <v>176</v>
      </c>
      <c r="H315" s="7" t="s">
        <v>443</v>
      </c>
      <c r="I315" s="9">
        <v>1</v>
      </c>
      <c r="K315" s="7" t="s">
        <v>735</v>
      </c>
    </row>
    <row r="316" spans="1:14" ht="15" customHeight="1" x14ac:dyDescent="0.2">
      <c r="A316" s="63"/>
      <c r="B316" s="3"/>
      <c r="C316" s="3"/>
      <c r="D316" s="3"/>
      <c r="E316" s="74"/>
      <c r="F316" s="2"/>
      <c r="G316" s="7" t="s">
        <v>446</v>
      </c>
      <c r="K316" s="7" t="s">
        <v>736</v>
      </c>
    </row>
    <row r="317" spans="1:14" ht="15" customHeight="1" x14ac:dyDescent="0.2">
      <c r="A317" s="63"/>
      <c r="B317" s="3"/>
      <c r="C317" s="3"/>
      <c r="D317" s="3"/>
      <c r="E317" s="74"/>
      <c r="F317" s="2"/>
      <c r="G317" s="2" t="s">
        <v>174</v>
      </c>
      <c r="H317" s="7" t="s">
        <v>445</v>
      </c>
      <c r="K317" s="7" t="s">
        <v>737</v>
      </c>
    </row>
    <row r="318" spans="1:14" ht="15" customHeight="1" x14ac:dyDescent="0.2">
      <c r="A318" s="63"/>
      <c r="B318" s="3"/>
      <c r="C318" s="3"/>
      <c r="D318" s="3">
        <v>45435</v>
      </c>
      <c r="E318" s="74"/>
      <c r="F318" s="2"/>
      <c r="G318" s="2"/>
      <c r="K318" s="7" t="s">
        <v>738</v>
      </c>
      <c r="L318"/>
      <c r="M318"/>
    </row>
    <row r="319" spans="1:14" ht="15" customHeight="1" x14ac:dyDescent="0.2">
      <c r="A319" s="63"/>
      <c r="B319" s="3"/>
      <c r="C319" s="3"/>
      <c r="D319" s="3"/>
      <c r="E319" s="74"/>
      <c r="F319" s="2"/>
      <c r="G319" s="2" t="s">
        <v>446</v>
      </c>
      <c r="K319" s="7" t="s">
        <v>739</v>
      </c>
      <c r="L319"/>
      <c r="M319"/>
    </row>
    <row r="320" spans="1:14" ht="15" customHeight="1" x14ac:dyDescent="0.2">
      <c r="A320" s="63"/>
      <c r="B320" s="3"/>
      <c r="C320" s="3"/>
      <c r="D320" s="3">
        <v>45436</v>
      </c>
      <c r="E320" s="74"/>
      <c r="F320" s="2"/>
      <c r="G320" s="2"/>
      <c r="H320" s="7" t="s">
        <v>552</v>
      </c>
      <c r="K320" s="7" t="s">
        <v>740</v>
      </c>
      <c r="L320"/>
      <c r="M320"/>
    </row>
    <row r="321" spans="1:14" ht="15" customHeight="1" x14ac:dyDescent="0.2">
      <c r="A321" s="63"/>
      <c r="B321" s="3"/>
      <c r="C321" s="3"/>
      <c r="D321" s="3"/>
      <c r="E321" s="74"/>
      <c r="F321" s="2"/>
      <c r="G321" s="7" t="s">
        <v>553</v>
      </c>
      <c r="K321" s="7" t="s">
        <v>741</v>
      </c>
      <c r="L321"/>
      <c r="M321"/>
    </row>
    <row r="322" spans="1:14" ht="15" customHeight="1" x14ac:dyDescent="0.2">
      <c r="A322" s="63"/>
      <c r="B322" s="3"/>
      <c r="C322" s="3"/>
      <c r="D322" s="10">
        <v>45437</v>
      </c>
      <c r="E322" s="74"/>
      <c r="F322" s="2"/>
      <c r="G322" s="2" t="s">
        <v>171</v>
      </c>
      <c r="H322" s="7" t="s">
        <v>554</v>
      </c>
      <c r="K322" s="7" t="s">
        <v>555</v>
      </c>
      <c r="L322"/>
      <c r="M322"/>
    </row>
    <row r="323" spans="1:14" ht="15" customHeight="1" x14ac:dyDescent="0.2">
      <c r="A323" s="63"/>
      <c r="B323" s="3"/>
      <c r="C323" s="3"/>
      <c r="D323" s="10">
        <v>45438</v>
      </c>
      <c r="E323" s="74"/>
      <c r="F323" s="2"/>
      <c r="G323" s="2"/>
      <c r="H323" s="7" t="s">
        <v>556</v>
      </c>
      <c r="K323" s="7" t="s">
        <v>742</v>
      </c>
      <c r="L323"/>
      <c r="M323"/>
    </row>
    <row r="324" spans="1:14" ht="15" customHeight="1" x14ac:dyDescent="0.2">
      <c r="A324" s="64"/>
      <c r="B324" s="3"/>
      <c r="C324" s="3"/>
      <c r="D324" s="10">
        <v>45439</v>
      </c>
      <c r="E324" s="74"/>
      <c r="F324" s="2"/>
      <c r="G324" s="2"/>
      <c r="H324" s="7" t="s">
        <v>557</v>
      </c>
      <c r="I324" s="9">
        <v>1</v>
      </c>
      <c r="K324" s="7" t="s">
        <v>743</v>
      </c>
      <c r="L324"/>
      <c r="M324"/>
    </row>
    <row r="325" spans="1:14" s="27" customFormat="1" ht="15" customHeight="1" x14ac:dyDescent="0.2">
      <c r="A325" s="23">
        <v>73</v>
      </c>
      <c r="B325" s="24">
        <v>45451</v>
      </c>
      <c r="C325" s="24">
        <v>45453</v>
      </c>
      <c r="D325" s="24">
        <v>45452</v>
      </c>
      <c r="E325" s="26" t="s">
        <v>528</v>
      </c>
      <c r="F325" s="27" t="s">
        <v>162</v>
      </c>
      <c r="G325" s="27" t="s">
        <v>558</v>
      </c>
      <c r="H325" s="27" t="s">
        <v>559</v>
      </c>
      <c r="I325" s="23">
        <v>4</v>
      </c>
      <c r="J325" s="27">
        <v>1</v>
      </c>
      <c r="K325" s="27" t="s">
        <v>560</v>
      </c>
      <c r="L325" s="58"/>
      <c r="M325" s="58"/>
      <c r="N325" s="23"/>
    </row>
    <row r="326" spans="1:14" s="27" customFormat="1" ht="15" customHeight="1" x14ac:dyDescent="0.2">
      <c r="A326" s="23"/>
      <c r="B326" s="70">
        <v>45497</v>
      </c>
      <c r="C326" s="70"/>
      <c r="D326" s="24"/>
      <c r="E326" s="26" t="s">
        <v>528</v>
      </c>
      <c r="F326" s="27" t="s">
        <v>162</v>
      </c>
      <c r="G326" s="27" t="s">
        <v>166</v>
      </c>
      <c r="H326" s="27" t="s">
        <v>330</v>
      </c>
      <c r="I326" s="23">
        <v>2</v>
      </c>
      <c r="K326" s="27" t="s">
        <v>526</v>
      </c>
      <c r="L326" s="58"/>
      <c r="M326" s="58"/>
      <c r="N326" s="23"/>
    </row>
    <row r="327" spans="1:14" s="27" customFormat="1" ht="15" customHeight="1" x14ac:dyDescent="0.2">
      <c r="A327" s="23"/>
      <c r="B327" s="70">
        <v>45539</v>
      </c>
      <c r="C327" s="70"/>
      <c r="D327" s="24"/>
      <c r="E327" s="26" t="s">
        <v>528</v>
      </c>
      <c r="F327" s="27" t="s">
        <v>162</v>
      </c>
      <c r="G327" s="27" t="s">
        <v>166</v>
      </c>
      <c r="H327" s="27" t="s">
        <v>330</v>
      </c>
      <c r="I327" s="23">
        <v>2</v>
      </c>
      <c r="K327" s="27" t="s">
        <v>526</v>
      </c>
      <c r="L327" s="58"/>
      <c r="M327" s="58"/>
      <c r="N327" s="23"/>
    </row>
    <row r="328" spans="1:14" s="27" customFormat="1" ht="15" customHeight="1" x14ac:dyDescent="0.2">
      <c r="A328" s="23"/>
      <c r="B328" s="24">
        <v>45542</v>
      </c>
      <c r="C328" s="24">
        <v>45543</v>
      </c>
      <c r="D328" s="24"/>
      <c r="E328" s="26" t="s">
        <v>513</v>
      </c>
      <c r="F328" s="27" t="s">
        <v>152</v>
      </c>
      <c r="G328" s="27" t="s">
        <v>153</v>
      </c>
      <c r="H328" s="27" t="s">
        <v>154</v>
      </c>
      <c r="I328" s="23"/>
      <c r="K328" s="27" t="s">
        <v>501</v>
      </c>
      <c r="L328" s="58"/>
      <c r="M328" s="58"/>
      <c r="N328" s="23"/>
    </row>
    <row r="329" spans="1:14" ht="15" customHeight="1" x14ac:dyDescent="0.2">
      <c r="A329" s="62">
        <v>74</v>
      </c>
      <c r="B329" s="61">
        <v>45558</v>
      </c>
      <c r="C329" s="61">
        <v>45566</v>
      </c>
      <c r="D329" s="10">
        <v>45558</v>
      </c>
      <c r="F329" s="1" t="s">
        <v>152</v>
      </c>
      <c r="G329" s="1" t="s">
        <v>153</v>
      </c>
      <c r="H329" s="7" t="s">
        <v>154</v>
      </c>
      <c r="K329" s="7" t="s">
        <v>561</v>
      </c>
      <c r="L329"/>
      <c r="M329"/>
    </row>
    <row r="330" spans="1:14" ht="15" customHeight="1" x14ac:dyDescent="0.2">
      <c r="A330" s="63"/>
      <c r="B330" s="3"/>
      <c r="C330" s="3"/>
      <c r="D330" s="10">
        <v>45560</v>
      </c>
      <c r="F330" s="2"/>
      <c r="G330" s="2"/>
      <c r="H330" s="7" t="s">
        <v>562</v>
      </c>
      <c r="K330" s="7" t="s">
        <v>563</v>
      </c>
      <c r="L330"/>
      <c r="M330"/>
    </row>
    <row r="331" spans="1:14" ht="15" customHeight="1" x14ac:dyDescent="0.2">
      <c r="A331" s="63"/>
      <c r="B331" s="3"/>
      <c r="C331" s="3"/>
      <c r="D331" s="3">
        <v>45561</v>
      </c>
      <c r="F331" s="2"/>
      <c r="G331" s="2"/>
      <c r="H331" s="7" t="s">
        <v>564</v>
      </c>
      <c r="K331" s="7" t="s">
        <v>565</v>
      </c>
      <c r="L331"/>
      <c r="M331"/>
    </row>
    <row r="332" spans="1:14" ht="15" customHeight="1" x14ac:dyDescent="0.2">
      <c r="A332" s="63"/>
      <c r="B332" s="3"/>
      <c r="C332" s="3"/>
      <c r="D332" s="3"/>
      <c r="F332" s="2"/>
      <c r="G332" s="2" t="s">
        <v>253</v>
      </c>
      <c r="K332" s="7" t="s">
        <v>566</v>
      </c>
      <c r="L332"/>
      <c r="M332"/>
    </row>
    <row r="333" spans="1:14" ht="15" customHeight="1" x14ac:dyDescent="0.2">
      <c r="A333" s="63"/>
      <c r="B333" s="3"/>
      <c r="C333" s="3"/>
      <c r="D333" s="10">
        <v>45562</v>
      </c>
      <c r="F333" s="2"/>
      <c r="G333" s="2"/>
      <c r="K333" s="7" t="s">
        <v>567</v>
      </c>
      <c r="L333"/>
      <c r="M333"/>
    </row>
    <row r="334" spans="1:14" ht="15" customHeight="1" x14ac:dyDescent="0.2">
      <c r="A334" s="63"/>
      <c r="B334" s="3"/>
      <c r="C334" s="3"/>
      <c r="D334" s="10">
        <v>45563</v>
      </c>
      <c r="F334" s="2"/>
      <c r="G334" s="2"/>
      <c r="H334" s="7" t="s">
        <v>568</v>
      </c>
      <c r="J334" s="7">
        <v>2</v>
      </c>
      <c r="K334" s="7" t="s">
        <v>569</v>
      </c>
      <c r="L334"/>
      <c r="M334"/>
    </row>
    <row r="335" spans="1:14" ht="15" customHeight="1" x14ac:dyDescent="0.2">
      <c r="A335" s="63"/>
      <c r="B335" s="3"/>
      <c r="C335" s="3"/>
      <c r="D335" s="3">
        <v>45564</v>
      </c>
      <c r="F335" s="2"/>
      <c r="G335" s="2"/>
      <c r="H335" s="7" t="s">
        <v>570</v>
      </c>
      <c r="J335" s="7">
        <v>1</v>
      </c>
      <c r="K335" s="7" t="s">
        <v>571</v>
      </c>
      <c r="L335"/>
      <c r="M335"/>
    </row>
    <row r="336" spans="1:14" ht="15" customHeight="1" x14ac:dyDescent="0.2">
      <c r="A336" s="63"/>
      <c r="B336" s="3"/>
      <c r="C336" s="3"/>
      <c r="D336" s="3"/>
      <c r="F336" s="2" t="s">
        <v>162</v>
      </c>
      <c r="G336" s="2" t="s">
        <v>179</v>
      </c>
      <c r="J336" s="7">
        <v>1</v>
      </c>
      <c r="K336" s="7" t="s">
        <v>572</v>
      </c>
      <c r="L336"/>
      <c r="M336"/>
    </row>
    <row r="337" spans="1:14" ht="15" customHeight="1" x14ac:dyDescent="0.2">
      <c r="A337" s="63"/>
      <c r="B337" s="3"/>
      <c r="C337" s="3"/>
      <c r="D337" s="10">
        <v>45565</v>
      </c>
      <c r="F337" s="2"/>
      <c r="G337" s="2"/>
      <c r="H337" s="7" t="s">
        <v>573</v>
      </c>
      <c r="K337" s="7" t="s">
        <v>744</v>
      </c>
      <c r="L337"/>
      <c r="M337"/>
    </row>
    <row r="338" spans="1:14" ht="15" customHeight="1" x14ac:dyDescent="0.2">
      <c r="A338" s="63"/>
      <c r="B338" s="3"/>
      <c r="C338" s="3"/>
      <c r="D338" s="10">
        <v>45566</v>
      </c>
      <c r="F338" s="2"/>
      <c r="G338" s="7" t="s">
        <v>373</v>
      </c>
      <c r="H338" s="7" t="s">
        <v>574</v>
      </c>
      <c r="K338" s="7" t="s">
        <v>745</v>
      </c>
      <c r="L338"/>
      <c r="M338"/>
    </row>
    <row r="339" spans="1:14" s="27" customFormat="1" ht="15" customHeight="1" x14ac:dyDescent="0.2">
      <c r="A339" s="23"/>
      <c r="B339" s="46">
        <v>45581</v>
      </c>
      <c r="C339" s="46">
        <v>45582</v>
      </c>
      <c r="D339" s="24"/>
      <c r="E339" s="26" t="s">
        <v>528</v>
      </c>
      <c r="F339" s="27" t="s">
        <v>162</v>
      </c>
      <c r="G339" s="27" t="s">
        <v>166</v>
      </c>
      <c r="H339" s="27" t="s">
        <v>330</v>
      </c>
      <c r="I339" s="23">
        <v>2</v>
      </c>
      <c r="K339" s="27" t="s">
        <v>526</v>
      </c>
      <c r="L339" s="58"/>
      <c r="M339" s="58"/>
      <c r="N339" s="23"/>
    </row>
    <row r="340" spans="1:14" s="27" customFormat="1" ht="15" customHeight="1" x14ac:dyDescent="0.2">
      <c r="A340" s="23"/>
      <c r="B340" s="24">
        <v>45594</v>
      </c>
      <c r="C340" s="24">
        <v>45602</v>
      </c>
      <c r="D340" s="24"/>
      <c r="E340" s="26" t="s">
        <v>513</v>
      </c>
      <c r="F340" s="27" t="s">
        <v>152</v>
      </c>
      <c r="G340" s="27" t="s">
        <v>153</v>
      </c>
      <c r="H340" s="27" t="s">
        <v>154</v>
      </c>
      <c r="I340" s="23"/>
      <c r="K340" s="27" t="s">
        <v>523</v>
      </c>
      <c r="L340" s="25"/>
      <c r="M340" s="26"/>
      <c r="N340" s="23"/>
    </row>
    <row r="341" spans="1:14" s="27" customFormat="1" ht="15" customHeight="1" x14ac:dyDescent="0.2">
      <c r="A341" s="23"/>
      <c r="B341" s="24">
        <v>45633</v>
      </c>
      <c r="C341" s="24">
        <v>45634</v>
      </c>
      <c r="D341" s="24"/>
      <c r="E341" s="26" t="s">
        <v>513</v>
      </c>
      <c r="I341" s="23">
        <v>1</v>
      </c>
      <c r="K341" s="27" t="s">
        <v>575</v>
      </c>
      <c r="L341" s="25"/>
      <c r="M341" s="26"/>
      <c r="N341" s="23"/>
    </row>
    <row r="342" spans="1:14" s="27" customFormat="1" ht="15" customHeight="1" x14ac:dyDescent="0.2">
      <c r="A342" s="23"/>
      <c r="B342" s="24"/>
      <c r="C342" s="24"/>
      <c r="D342" s="24"/>
      <c r="E342" s="26"/>
      <c r="F342" s="27" t="s">
        <v>15</v>
      </c>
      <c r="G342" s="27" t="s">
        <v>214</v>
      </c>
      <c r="I342" s="23"/>
      <c r="J342" s="27">
        <v>4</v>
      </c>
      <c r="K342" s="27" t="s">
        <v>576</v>
      </c>
      <c r="L342" s="25"/>
      <c r="M342" s="26"/>
      <c r="N342" s="23"/>
    </row>
    <row r="343" spans="1:14" s="27" customFormat="1" ht="15" customHeight="1" x14ac:dyDescent="0.2">
      <c r="A343" s="23"/>
      <c r="B343" s="70">
        <v>45643</v>
      </c>
      <c r="C343" s="70"/>
      <c r="D343" s="24"/>
      <c r="E343" s="26"/>
      <c r="I343" s="23">
        <v>1</v>
      </c>
      <c r="K343" s="27" t="s">
        <v>577</v>
      </c>
      <c r="L343" s="58"/>
      <c r="M343" s="58"/>
      <c r="N343" s="23"/>
    </row>
    <row r="344" spans="1:14" ht="15" customHeight="1" x14ac:dyDescent="0.2">
      <c r="A344" s="62">
        <v>75</v>
      </c>
      <c r="B344" s="61">
        <v>45764</v>
      </c>
      <c r="C344" s="66">
        <v>45769</v>
      </c>
      <c r="D344" s="10">
        <v>45765</v>
      </c>
      <c r="F344" s="1" t="s">
        <v>162</v>
      </c>
      <c r="G344" s="1" t="s">
        <v>166</v>
      </c>
      <c r="H344" s="1" t="s">
        <v>167</v>
      </c>
      <c r="I344" s="9">
        <v>1</v>
      </c>
      <c r="K344" s="7" t="s">
        <v>746</v>
      </c>
      <c r="L344"/>
      <c r="M344"/>
    </row>
    <row r="345" spans="1:14" ht="15" customHeight="1" x14ac:dyDescent="0.2">
      <c r="A345" s="63"/>
      <c r="B345" s="3"/>
      <c r="C345" s="67"/>
      <c r="D345" s="10">
        <v>45766</v>
      </c>
      <c r="F345" s="2"/>
      <c r="G345" s="2"/>
      <c r="H345" s="2"/>
      <c r="K345" s="7" t="s">
        <v>578</v>
      </c>
      <c r="L345"/>
      <c r="M345"/>
    </row>
    <row r="346" spans="1:14" s="32" customFormat="1" ht="15" customHeight="1" x14ac:dyDescent="0.2">
      <c r="A346" s="64"/>
      <c r="B346" s="65"/>
      <c r="C346" s="68"/>
      <c r="D346" s="31">
        <v>45768</v>
      </c>
      <c r="E346" s="41"/>
      <c r="F346" s="69"/>
      <c r="G346" s="69"/>
      <c r="H346" s="69"/>
      <c r="I346" s="38">
        <v>1</v>
      </c>
      <c r="K346" s="32" t="s">
        <v>747</v>
      </c>
      <c r="L346" s="59"/>
      <c r="M346" s="59"/>
      <c r="N346" s="38"/>
    </row>
    <row r="347" spans="1:14" ht="15" customHeight="1" x14ac:dyDescent="0.2">
      <c r="A347" s="62">
        <v>76</v>
      </c>
      <c r="B347" s="61">
        <v>46151</v>
      </c>
      <c r="C347" s="61">
        <v>46162</v>
      </c>
      <c r="D347" s="61">
        <v>46152</v>
      </c>
      <c r="F347" s="1" t="s">
        <v>162</v>
      </c>
      <c r="G347" s="7" t="s">
        <v>171</v>
      </c>
      <c r="I347" s="9">
        <v>1</v>
      </c>
      <c r="K347" s="7" t="s">
        <v>748</v>
      </c>
      <c r="L347"/>
      <c r="M347"/>
    </row>
    <row r="348" spans="1:14" ht="15" customHeight="1" x14ac:dyDescent="0.2">
      <c r="A348" s="63"/>
      <c r="B348" s="3"/>
      <c r="C348" s="3"/>
      <c r="D348" s="3"/>
      <c r="F348" s="2"/>
      <c r="G348" s="2" t="s">
        <v>353</v>
      </c>
      <c r="K348" s="7" t="s">
        <v>749</v>
      </c>
      <c r="L348"/>
      <c r="M348"/>
    </row>
    <row r="349" spans="1:14" ht="15" customHeight="1" x14ac:dyDescent="0.2">
      <c r="A349" s="63"/>
      <c r="B349" s="3"/>
      <c r="C349" s="3"/>
      <c r="D349" s="10">
        <v>46153</v>
      </c>
      <c r="F349" s="2"/>
      <c r="G349" s="2"/>
      <c r="K349" s="7" t="s">
        <v>750</v>
      </c>
      <c r="L349"/>
      <c r="M349"/>
    </row>
    <row r="350" spans="1:14" ht="15" customHeight="1" x14ac:dyDescent="0.2">
      <c r="A350" s="63"/>
      <c r="B350" s="3"/>
      <c r="C350" s="3"/>
      <c r="D350" s="3">
        <v>46154</v>
      </c>
      <c r="F350" s="2"/>
      <c r="G350" s="2"/>
      <c r="K350" s="7" t="s">
        <v>751</v>
      </c>
      <c r="L350"/>
      <c r="M350"/>
    </row>
    <row r="351" spans="1:14" ht="15" customHeight="1" x14ac:dyDescent="0.2">
      <c r="A351" s="63"/>
      <c r="B351" s="3"/>
      <c r="C351" s="3"/>
      <c r="D351" s="3"/>
      <c r="E351" s="7"/>
      <c r="F351" s="2"/>
      <c r="G351" s="7" t="s">
        <v>171</v>
      </c>
      <c r="I351" s="7"/>
      <c r="J351" s="7">
        <v>1</v>
      </c>
      <c r="K351" s="7" t="s">
        <v>752</v>
      </c>
      <c r="L351"/>
      <c r="M351"/>
    </row>
    <row r="352" spans="1:14" ht="15" customHeight="1" x14ac:dyDescent="0.2">
      <c r="A352" s="63"/>
      <c r="B352" s="3"/>
      <c r="C352" s="3"/>
      <c r="D352" s="3"/>
      <c r="E352" s="7"/>
      <c r="F352" s="2"/>
      <c r="G352" s="2" t="s">
        <v>169</v>
      </c>
      <c r="I352" s="7"/>
      <c r="K352" s="7" t="s">
        <v>753</v>
      </c>
      <c r="L352"/>
      <c r="M352"/>
    </row>
    <row r="353" spans="1:14" ht="15" customHeight="1" x14ac:dyDescent="0.2">
      <c r="A353" s="63"/>
      <c r="B353" s="3"/>
      <c r="C353" s="3"/>
      <c r="D353" s="10">
        <v>46155</v>
      </c>
      <c r="F353" s="2"/>
      <c r="G353" s="2"/>
      <c r="K353" s="7" t="s">
        <v>754</v>
      </c>
      <c r="L353"/>
      <c r="M353"/>
    </row>
    <row r="354" spans="1:14" ht="15" customHeight="1" x14ac:dyDescent="0.2">
      <c r="A354" s="63"/>
      <c r="B354" s="3"/>
      <c r="C354" s="3"/>
      <c r="D354" s="10">
        <v>46157</v>
      </c>
      <c r="F354" s="2"/>
      <c r="G354" s="2" t="s">
        <v>579</v>
      </c>
      <c r="H354" s="7" t="s">
        <v>580</v>
      </c>
      <c r="I354" s="9">
        <v>1</v>
      </c>
      <c r="K354" s="7" t="s">
        <v>755</v>
      </c>
      <c r="L354"/>
      <c r="M354"/>
    </row>
    <row r="355" spans="1:14" ht="15" customHeight="1" x14ac:dyDescent="0.2">
      <c r="A355" s="63"/>
      <c r="B355" s="3"/>
      <c r="C355" s="3"/>
      <c r="D355" s="3">
        <v>46158</v>
      </c>
      <c r="F355" s="2"/>
      <c r="G355" s="2"/>
      <c r="H355" s="7" t="s">
        <v>581</v>
      </c>
      <c r="K355" s="7" t="s">
        <v>756</v>
      </c>
      <c r="L355"/>
      <c r="M355"/>
    </row>
    <row r="356" spans="1:14" ht="15" customHeight="1" x14ac:dyDescent="0.2">
      <c r="A356" s="63"/>
      <c r="B356" s="3"/>
      <c r="C356" s="3"/>
      <c r="D356" s="3"/>
      <c r="F356" s="2"/>
      <c r="G356" s="7" t="s">
        <v>582</v>
      </c>
      <c r="H356" s="7" t="s">
        <v>583</v>
      </c>
      <c r="K356" s="7" t="s">
        <v>757</v>
      </c>
      <c r="L356"/>
      <c r="M356"/>
    </row>
    <row r="357" spans="1:14" ht="15" customHeight="1" x14ac:dyDescent="0.2">
      <c r="A357" s="63"/>
      <c r="B357" s="3"/>
      <c r="C357" s="3"/>
      <c r="D357" s="10">
        <v>46159</v>
      </c>
      <c r="F357" s="2"/>
      <c r="G357" s="2" t="s">
        <v>584</v>
      </c>
      <c r="H357" s="7" t="s">
        <v>585</v>
      </c>
      <c r="K357" s="7" t="s">
        <v>758</v>
      </c>
      <c r="L357"/>
      <c r="M357"/>
    </row>
    <row r="358" spans="1:14" ht="15" customHeight="1" x14ac:dyDescent="0.2">
      <c r="A358" s="63"/>
      <c r="B358" s="3"/>
      <c r="C358" s="3"/>
      <c r="D358" s="10">
        <v>46160</v>
      </c>
      <c r="F358" s="2"/>
      <c r="G358" s="2"/>
      <c r="H358" s="7" t="s">
        <v>586</v>
      </c>
      <c r="K358" s="7" t="s">
        <v>759</v>
      </c>
      <c r="L358"/>
      <c r="M358"/>
    </row>
    <row r="359" spans="1:14" ht="15" customHeight="1" x14ac:dyDescent="0.2">
      <c r="A359" s="63"/>
      <c r="B359" s="3"/>
      <c r="C359" s="3"/>
      <c r="D359" s="10">
        <v>46161</v>
      </c>
      <c r="F359" s="2"/>
      <c r="G359" s="7" t="s">
        <v>582</v>
      </c>
      <c r="H359" s="7" t="s">
        <v>587</v>
      </c>
      <c r="I359" s="9">
        <v>2</v>
      </c>
      <c r="K359" s="7" t="s">
        <v>760</v>
      </c>
      <c r="L359"/>
      <c r="M359"/>
    </row>
    <row r="360" spans="1:14" s="20" customFormat="1" ht="15" customHeight="1" x14ac:dyDescent="0.2">
      <c r="A360" s="21"/>
      <c r="B360" s="16"/>
      <c r="C360" s="16"/>
      <c r="D360" s="16"/>
      <c r="E360" s="18"/>
      <c r="I360" s="21"/>
      <c r="L360" s="60"/>
      <c r="M360" s="60"/>
      <c r="N360" s="21"/>
    </row>
    <row r="361" spans="1:14" ht="15" customHeight="1" x14ac:dyDescent="0.2">
      <c r="L361"/>
      <c r="M361"/>
    </row>
    <row r="362" spans="1:14" ht="15" customHeight="1" x14ac:dyDescent="0.2">
      <c r="L362"/>
      <c r="M362"/>
    </row>
    <row r="363" spans="1:14" ht="15" customHeight="1" x14ac:dyDescent="0.2">
      <c r="L363"/>
      <c r="M363"/>
    </row>
    <row r="364" spans="1:14" ht="15" customHeight="1" x14ac:dyDescent="0.2">
      <c r="L364"/>
      <c r="M364"/>
    </row>
    <row r="365" spans="1:14" ht="15" customHeight="1" x14ac:dyDescent="0.2">
      <c r="L365"/>
      <c r="M365"/>
    </row>
    <row r="366" spans="1:14" ht="15" customHeight="1" x14ac:dyDescent="0.2">
      <c r="L366"/>
      <c r="M366"/>
    </row>
    <row r="367" spans="1:14" ht="15" customHeight="1" x14ac:dyDescent="0.2">
      <c r="L367"/>
      <c r="M367"/>
    </row>
    <row r="368" spans="1:14" ht="15" customHeight="1" x14ac:dyDescent="0.2">
      <c r="L368"/>
      <c r="M368"/>
    </row>
    <row r="369" spans="12:13" ht="15" customHeight="1" x14ac:dyDescent="0.2">
      <c r="L369"/>
      <c r="M369"/>
    </row>
    <row r="370" spans="12:13" ht="15" customHeight="1" x14ac:dyDescent="0.2">
      <c r="L370"/>
      <c r="M370"/>
    </row>
    <row r="371" spans="12:13" ht="15" customHeight="1" x14ac:dyDescent="0.2">
      <c r="L371"/>
      <c r="M371"/>
    </row>
    <row r="372" spans="12:13" ht="15" customHeight="1" x14ac:dyDescent="0.2">
      <c r="L372"/>
      <c r="M372"/>
    </row>
    <row r="373" spans="12:13" ht="15" customHeight="1" x14ac:dyDescent="0.2">
      <c r="L373"/>
      <c r="M373"/>
    </row>
    <row r="374" spans="12:13" ht="15" customHeight="1" x14ac:dyDescent="0.2">
      <c r="L374"/>
      <c r="M374"/>
    </row>
    <row r="375" spans="12:13" ht="15" customHeight="1" x14ac:dyDescent="0.2">
      <c r="L375"/>
      <c r="M375"/>
    </row>
    <row r="376" spans="12:13" ht="15" customHeight="1" x14ac:dyDescent="0.2">
      <c r="L376"/>
      <c r="M376"/>
    </row>
    <row r="377" spans="12:13" ht="15" customHeight="1" x14ac:dyDescent="0.2">
      <c r="L377"/>
      <c r="M377"/>
    </row>
    <row r="378" spans="12:13" ht="15" customHeight="1" x14ac:dyDescent="0.2">
      <c r="L378"/>
      <c r="M378"/>
    </row>
    <row r="379" spans="12:13" ht="15" customHeight="1" x14ac:dyDescent="0.2">
      <c r="L379"/>
      <c r="M379"/>
    </row>
    <row r="380" spans="12:13" ht="15" customHeight="1" x14ac:dyDescent="0.2">
      <c r="L380"/>
      <c r="M380"/>
    </row>
    <row r="381" spans="12:13" ht="15" customHeight="1" x14ac:dyDescent="0.2">
      <c r="L381"/>
      <c r="M381"/>
    </row>
    <row r="382" spans="12:13" ht="15" customHeight="1" x14ac:dyDescent="0.2">
      <c r="L382"/>
      <c r="M382"/>
    </row>
    <row r="383" spans="12:13" ht="15" customHeight="1" x14ac:dyDescent="0.2">
      <c r="L383"/>
      <c r="M383"/>
    </row>
    <row r="384" spans="12:13" ht="15" customHeight="1" x14ac:dyDescent="0.2">
      <c r="L384"/>
      <c r="M384"/>
    </row>
    <row r="385" spans="12:13" ht="15" customHeight="1" x14ac:dyDescent="0.2">
      <c r="L385"/>
      <c r="M385"/>
    </row>
    <row r="386" spans="12:13" ht="15" customHeight="1" x14ac:dyDescent="0.2">
      <c r="L386"/>
      <c r="M386"/>
    </row>
    <row r="387" spans="12:13" ht="15" customHeight="1" x14ac:dyDescent="0.2">
      <c r="L387"/>
      <c r="M387"/>
    </row>
    <row r="388" spans="12:13" ht="15" customHeight="1" x14ac:dyDescent="0.2">
      <c r="L388"/>
      <c r="M388"/>
    </row>
    <row r="389" spans="12:13" ht="15" customHeight="1" x14ac:dyDescent="0.2">
      <c r="L389"/>
      <c r="M389"/>
    </row>
    <row r="390" spans="12:13" ht="15" customHeight="1" x14ac:dyDescent="0.2">
      <c r="L390"/>
      <c r="M390"/>
    </row>
    <row r="391" spans="12:13" ht="15" customHeight="1" x14ac:dyDescent="0.2">
      <c r="L391"/>
      <c r="M391"/>
    </row>
    <row r="392" spans="12:13" ht="15" customHeight="1" x14ac:dyDescent="0.2">
      <c r="L392"/>
      <c r="M392"/>
    </row>
    <row r="393" spans="12:13" ht="15" customHeight="1" x14ac:dyDescent="0.2">
      <c r="L393"/>
      <c r="M393"/>
    </row>
    <row r="394" spans="12:13" ht="15" customHeight="1" x14ac:dyDescent="0.2">
      <c r="L394"/>
      <c r="M394"/>
    </row>
    <row r="395" spans="12:13" ht="15" customHeight="1" x14ac:dyDescent="0.2">
      <c r="L395"/>
      <c r="M395"/>
    </row>
    <row r="396" spans="12:13" ht="15" customHeight="1" x14ac:dyDescent="0.2">
      <c r="L396"/>
      <c r="M396"/>
    </row>
    <row r="397" spans="12:13" ht="15" customHeight="1" x14ac:dyDescent="0.2">
      <c r="L397"/>
      <c r="M397"/>
    </row>
    <row r="398" spans="12:13" ht="15" customHeight="1" x14ac:dyDescent="0.2">
      <c r="L398"/>
      <c r="M398"/>
    </row>
    <row r="399" spans="12:13" ht="15" customHeight="1" x14ac:dyDescent="0.2">
      <c r="L399"/>
      <c r="M399"/>
    </row>
    <row r="400" spans="12:13" ht="15" customHeight="1" x14ac:dyDescent="0.2">
      <c r="L400"/>
      <c r="M400"/>
    </row>
    <row r="401" spans="11:13" ht="15" customHeight="1" x14ac:dyDescent="0.2">
      <c r="L401"/>
      <c r="M401"/>
    </row>
    <row r="402" spans="11:13" ht="15" customHeight="1" x14ac:dyDescent="0.2">
      <c r="L402"/>
      <c r="M402"/>
    </row>
    <row r="403" spans="11:13" ht="15" customHeight="1" x14ac:dyDescent="0.2">
      <c r="L403"/>
      <c r="M403"/>
    </row>
    <row r="404" spans="11:13" ht="15" customHeight="1" x14ac:dyDescent="0.2">
      <c r="L404"/>
      <c r="M404"/>
    </row>
    <row r="405" spans="11:13" ht="15" customHeight="1" x14ac:dyDescent="0.2">
      <c r="L405"/>
      <c r="M405"/>
    </row>
    <row r="406" spans="11:13" ht="15" customHeight="1" x14ac:dyDescent="0.2">
      <c r="L406"/>
      <c r="M406"/>
    </row>
    <row r="407" spans="11:13" ht="15" customHeight="1" x14ac:dyDescent="0.2">
      <c r="L407"/>
      <c r="M407"/>
    </row>
    <row r="408" spans="11:13" ht="15" customHeight="1" x14ac:dyDescent="0.2">
      <c r="L408"/>
      <c r="M408"/>
    </row>
    <row r="409" spans="11:13" ht="15" customHeight="1" x14ac:dyDescent="0.2">
      <c r="L409"/>
      <c r="M409"/>
    </row>
    <row r="410" spans="11:13" ht="15" customHeight="1" x14ac:dyDescent="0.2">
      <c r="L410"/>
      <c r="M410"/>
    </row>
    <row r="411" spans="11:13" ht="15" customHeight="1" x14ac:dyDescent="0.2">
      <c r="K411"/>
      <c r="L411"/>
      <c r="M411"/>
    </row>
    <row r="412" spans="11:13" ht="15" customHeight="1" x14ac:dyDescent="0.2">
      <c r="K412"/>
      <c r="L412"/>
      <c r="M412"/>
    </row>
    <row r="413" spans="11:13" ht="15" customHeight="1" x14ac:dyDescent="0.2">
      <c r="K413"/>
      <c r="L413"/>
      <c r="M413"/>
    </row>
    <row r="414" spans="11:13" ht="15" customHeight="1" x14ac:dyDescent="0.2">
      <c r="K414"/>
      <c r="L414"/>
      <c r="M414"/>
    </row>
    <row r="415" spans="11:13" ht="15" customHeight="1" x14ac:dyDescent="0.2">
      <c r="K415"/>
      <c r="L415"/>
      <c r="M415"/>
    </row>
    <row r="416" spans="11:13" ht="15" customHeight="1" x14ac:dyDescent="0.2">
      <c r="K416"/>
      <c r="L416"/>
      <c r="M416"/>
    </row>
    <row r="417" spans="11:13" ht="15" customHeight="1" x14ac:dyDescent="0.2">
      <c r="K417"/>
      <c r="L417"/>
      <c r="M417"/>
    </row>
    <row r="418" spans="11:13" ht="15" customHeight="1" x14ac:dyDescent="0.2">
      <c r="K418"/>
      <c r="L418"/>
      <c r="M418"/>
    </row>
    <row r="419" spans="11:13" ht="15" customHeight="1" x14ac:dyDescent="0.2">
      <c r="K419"/>
      <c r="L419"/>
      <c r="M419"/>
    </row>
    <row r="420" spans="11:13" ht="15" customHeight="1" x14ac:dyDescent="0.2">
      <c r="K420"/>
      <c r="L420"/>
      <c r="M420"/>
    </row>
    <row r="421" spans="11:13" ht="15" customHeight="1" x14ac:dyDescent="0.2">
      <c r="K421"/>
      <c r="L421"/>
      <c r="M421"/>
    </row>
    <row r="422" spans="11:13" ht="15" customHeight="1" x14ac:dyDescent="0.2">
      <c r="K422"/>
      <c r="L422"/>
    </row>
    <row r="423" spans="11:13" ht="15" customHeight="1" x14ac:dyDescent="0.2">
      <c r="K423"/>
      <c r="L423"/>
    </row>
    <row r="424" spans="11:13" ht="15" customHeight="1" x14ac:dyDescent="0.2">
      <c r="K424"/>
      <c r="L424"/>
    </row>
    <row r="425" spans="11:13" ht="15" customHeight="1" x14ac:dyDescent="0.2">
      <c r="K425"/>
      <c r="L425"/>
    </row>
    <row r="426" spans="11:13" ht="15" customHeight="1" x14ac:dyDescent="0.2">
      <c r="K426"/>
      <c r="L426"/>
    </row>
    <row r="427" spans="11:13" ht="15" customHeight="1" x14ac:dyDescent="0.2">
      <c r="K427"/>
      <c r="L427"/>
    </row>
    <row r="428" spans="11:13" ht="15" customHeight="1" x14ac:dyDescent="0.2">
      <c r="K428"/>
      <c r="L428"/>
    </row>
    <row r="429" spans="11:13" ht="15" customHeight="1" x14ac:dyDescent="0.2">
      <c r="K429"/>
      <c r="L429"/>
    </row>
    <row r="430" spans="11:13" ht="15" customHeight="1" x14ac:dyDescent="0.2">
      <c r="K430"/>
      <c r="L430"/>
    </row>
    <row r="431" spans="11:13" ht="15" customHeight="1" x14ac:dyDescent="0.2">
      <c r="K431"/>
      <c r="L431"/>
    </row>
    <row r="432" spans="11:13" ht="15" customHeight="1" x14ac:dyDescent="0.2">
      <c r="K432"/>
      <c r="L432"/>
    </row>
    <row r="433" spans="11:12" ht="15" customHeight="1" x14ac:dyDescent="0.2">
      <c r="K433"/>
      <c r="L433"/>
    </row>
    <row r="434" spans="11:12" ht="15" customHeight="1" x14ac:dyDescent="0.2">
      <c r="K434"/>
      <c r="L434"/>
    </row>
    <row r="435" spans="11:12" ht="15" customHeight="1" x14ac:dyDescent="0.2">
      <c r="K435"/>
      <c r="L435"/>
    </row>
    <row r="436" spans="11:12" ht="15" customHeight="1" x14ac:dyDescent="0.2">
      <c r="K436"/>
      <c r="L436"/>
    </row>
    <row r="437" spans="11:12" ht="15" customHeight="1" x14ac:dyDescent="0.2">
      <c r="K437"/>
      <c r="L437"/>
    </row>
    <row r="438" spans="11:12" ht="15" customHeight="1" x14ac:dyDescent="0.2">
      <c r="K438"/>
      <c r="L438"/>
    </row>
    <row r="439" spans="11:12" ht="15" customHeight="1" x14ac:dyDescent="0.2">
      <c r="K439"/>
      <c r="L439"/>
    </row>
    <row r="440" spans="11:12" ht="15" customHeight="1" x14ac:dyDescent="0.2">
      <c r="K440"/>
      <c r="L440"/>
    </row>
    <row r="441" spans="11:12" ht="15" customHeight="1" x14ac:dyDescent="0.2">
      <c r="K441"/>
      <c r="L441"/>
    </row>
    <row r="442" spans="11:12" ht="15" customHeight="1" x14ac:dyDescent="0.2">
      <c r="K442"/>
      <c r="L442"/>
    </row>
    <row r="443" spans="11:12" ht="15" customHeight="1" x14ac:dyDescent="0.2">
      <c r="K443"/>
      <c r="L443"/>
    </row>
    <row r="444" spans="11:12" ht="15" customHeight="1" x14ac:dyDescent="0.2">
      <c r="K444"/>
      <c r="L444"/>
    </row>
    <row r="445" spans="11:12" ht="15" customHeight="1" x14ac:dyDescent="0.2">
      <c r="K445"/>
      <c r="L445"/>
    </row>
    <row r="446" spans="11:12" ht="15" customHeight="1" x14ac:dyDescent="0.2">
      <c r="K446"/>
      <c r="L446"/>
    </row>
    <row r="447" spans="11:12" ht="15" customHeight="1" x14ac:dyDescent="0.2">
      <c r="K447"/>
      <c r="L447"/>
    </row>
    <row r="448" spans="11:12" ht="15" customHeight="1" x14ac:dyDescent="0.2">
      <c r="K448"/>
      <c r="L448"/>
    </row>
    <row r="449" spans="11:12" ht="15" customHeight="1" x14ac:dyDescent="0.2">
      <c r="K449"/>
      <c r="L449"/>
    </row>
    <row r="450" spans="11:12" ht="15" customHeight="1" x14ac:dyDescent="0.2">
      <c r="K450"/>
      <c r="L450"/>
    </row>
    <row r="451" spans="11:12" ht="15" customHeight="1" x14ac:dyDescent="0.2">
      <c r="K451"/>
      <c r="L451"/>
    </row>
    <row r="452" spans="11:12" ht="15" customHeight="1" x14ac:dyDescent="0.2">
      <c r="K452"/>
      <c r="L452"/>
    </row>
    <row r="453" spans="11:12" ht="15" customHeight="1" x14ac:dyDescent="0.2">
      <c r="K453"/>
      <c r="L453"/>
    </row>
    <row r="454" spans="11:12" ht="15" customHeight="1" x14ac:dyDescent="0.2">
      <c r="K454"/>
      <c r="L454"/>
    </row>
    <row r="455" spans="11:12" ht="15" customHeight="1" x14ac:dyDescent="0.2">
      <c r="K455"/>
      <c r="L455"/>
    </row>
    <row r="456" spans="11:12" ht="15" customHeight="1" x14ac:dyDescent="0.2">
      <c r="K456"/>
      <c r="L456"/>
    </row>
    <row r="457" spans="11:12" ht="15" customHeight="1" x14ac:dyDescent="0.2">
      <c r="K457"/>
      <c r="L457"/>
    </row>
    <row r="458" spans="11:12" ht="15" customHeight="1" x14ac:dyDescent="0.2">
      <c r="K458"/>
      <c r="L458"/>
    </row>
    <row r="459" spans="11:12" ht="15" customHeight="1" x14ac:dyDescent="0.2">
      <c r="K459"/>
      <c r="L459"/>
    </row>
    <row r="460" spans="11:12" ht="15" customHeight="1" x14ac:dyDescent="0.2">
      <c r="K460"/>
      <c r="L460"/>
    </row>
    <row r="461" spans="11:12" ht="15" customHeight="1" x14ac:dyDescent="0.2">
      <c r="K461"/>
      <c r="L461"/>
    </row>
    <row r="462" spans="11:12" ht="15" customHeight="1" x14ac:dyDescent="0.2">
      <c r="K462"/>
      <c r="L462"/>
    </row>
    <row r="463" spans="11:12" ht="15" customHeight="1" x14ac:dyDescent="0.2">
      <c r="K463"/>
      <c r="L463"/>
    </row>
    <row r="464" spans="11:12" ht="15" customHeight="1" x14ac:dyDescent="0.2">
      <c r="K464"/>
      <c r="L464"/>
    </row>
    <row r="465" spans="11:12" ht="15" customHeight="1" x14ac:dyDescent="0.2">
      <c r="K465"/>
      <c r="L465"/>
    </row>
    <row r="466" spans="11:12" ht="15" customHeight="1" x14ac:dyDescent="0.2">
      <c r="K466"/>
      <c r="L466"/>
    </row>
    <row r="467" spans="11:12" ht="15" customHeight="1" x14ac:dyDescent="0.2">
      <c r="K467"/>
      <c r="L467"/>
    </row>
    <row r="468" spans="11:12" ht="15" customHeight="1" x14ac:dyDescent="0.2">
      <c r="K468"/>
      <c r="L468"/>
    </row>
    <row r="469" spans="11:12" ht="15" customHeight="1" x14ac:dyDescent="0.2">
      <c r="K469"/>
      <c r="L469"/>
    </row>
    <row r="470" spans="11:12" ht="15" customHeight="1" x14ac:dyDescent="0.2">
      <c r="K470"/>
      <c r="L470"/>
    </row>
    <row r="471" spans="11:12" ht="15" customHeight="1" x14ac:dyDescent="0.2">
      <c r="K471"/>
      <c r="L471"/>
    </row>
    <row r="472" spans="11:12" ht="15" customHeight="1" x14ac:dyDescent="0.2">
      <c r="K472"/>
      <c r="L472"/>
    </row>
    <row r="473" spans="11:12" ht="15" customHeight="1" x14ac:dyDescent="0.2">
      <c r="K473"/>
      <c r="L473"/>
    </row>
    <row r="474" spans="11:12" ht="15" customHeight="1" x14ac:dyDescent="0.2">
      <c r="K474"/>
      <c r="L474"/>
    </row>
    <row r="475" spans="11:12" ht="15" customHeight="1" x14ac:dyDescent="0.2">
      <c r="K475"/>
      <c r="L475"/>
    </row>
    <row r="476" spans="11:12" ht="15" customHeight="1" x14ac:dyDescent="0.2">
      <c r="K476"/>
      <c r="L476"/>
    </row>
    <row r="477" spans="11:12" ht="15" customHeight="1" x14ac:dyDescent="0.2">
      <c r="K477"/>
      <c r="L477"/>
    </row>
    <row r="478" spans="11:12" ht="15" customHeight="1" x14ac:dyDescent="0.2">
      <c r="K478"/>
      <c r="L478"/>
    </row>
    <row r="479" spans="11:12" ht="15" customHeight="1" x14ac:dyDescent="0.2">
      <c r="K479"/>
      <c r="L479"/>
    </row>
    <row r="480" spans="11:12" ht="15" customHeight="1" x14ac:dyDescent="0.2">
      <c r="K480"/>
      <c r="L480"/>
    </row>
    <row r="481" spans="11:12" ht="15" customHeight="1" x14ac:dyDescent="0.2">
      <c r="K481"/>
      <c r="L481"/>
    </row>
    <row r="482" spans="11:12" ht="15" customHeight="1" x14ac:dyDescent="0.2">
      <c r="K482"/>
      <c r="L482"/>
    </row>
    <row r="483" spans="11:12" ht="15" customHeight="1" x14ac:dyDescent="0.2">
      <c r="K483"/>
      <c r="L483"/>
    </row>
    <row r="484" spans="11:12" ht="15" customHeight="1" x14ac:dyDescent="0.2">
      <c r="K484"/>
      <c r="L484"/>
    </row>
    <row r="485" spans="11:12" ht="15" customHeight="1" x14ac:dyDescent="0.2">
      <c r="K485"/>
      <c r="L485"/>
    </row>
    <row r="486" spans="11:12" ht="15" customHeight="1" x14ac:dyDescent="0.2">
      <c r="K486"/>
      <c r="L486"/>
    </row>
    <row r="487" spans="11:12" ht="15" customHeight="1" x14ac:dyDescent="0.2">
      <c r="K487"/>
      <c r="L487"/>
    </row>
    <row r="488" spans="11:12" ht="15" customHeight="1" x14ac:dyDescent="0.2">
      <c r="K488"/>
      <c r="L488"/>
    </row>
    <row r="489" spans="11:12" ht="15" customHeight="1" x14ac:dyDescent="0.2">
      <c r="K489"/>
      <c r="L489"/>
    </row>
    <row r="490" spans="11:12" ht="15" customHeight="1" x14ac:dyDescent="0.2">
      <c r="K490"/>
      <c r="L490"/>
    </row>
    <row r="491" spans="11:12" ht="15" customHeight="1" x14ac:dyDescent="0.2">
      <c r="K491"/>
      <c r="L491"/>
    </row>
    <row r="492" spans="11:12" ht="15" customHeight="1" x14ac:dyDescent="0.2">
      <c r="K492"/>
      <c r="L492"/>
    </row>
    <row r="493" spans="11:12" ht="15" customHeight="1" x14ac:dyDescent="0.2">
      <c r="K493"/>
      <c r="L493"/>
    </row>
    <row r="494" spans="11:12" ht="15" customHeight="1" x14ac:dyDescent="0.2">
      <c r="K494"/>
      <c r="L494"/>
    </row>
    <row r="495" spans="11:12" ht="15" customHeight="1" x14ac:dyDescent="0.2">
      <c r="K495"/>
      <c r="L495"/>
    </row>
    <row r="496" spans="11:12" ht="15" customHeight="1" x14ac:dyDescent="0.2">
      <c r="K496"/>
      <c r="L496"/>
    </row>
    <row r="497" spans="11:12" ht="15" customHeight="1" x14ac:dyDescent="0.2">
      <c r="K497"/>
      <c r="L497"/>
    </row>
    <row r="498" spans="11:12" ht="15" customHeight="1" x14ac:dyDescent="0.2">
      <c r="K498"/>
      <c r="L498"/>
    </row>
    <row r="499" spans="11:12" ht="15" customHeight="1" x14ac:dyDescent="0.2">
      <c r="K499"/>
      <c r="L499"/>
    </row>
    <row r="500" spans="11:12" ht="15" customHeight="1" x14ac:dyDescent="0.2">
      <c r="K500"/>
      <c r="L500"/>
    </row>
    <row r="501" spans="11:12" ht="15" customHeight="1" x14ac:dyDescent="0.2">
      <c r="K501"/>
      <c r="L501"/>
    </row>
    <row r="502" spans="11:12" ht="15" customHeight="1" x14ac:dyDescent="0.2">
      <c r="K502"/>
      <c r="L502"/>
    </row>
    <row r="503" spans="11:12" ht="15" customHeight="1" x14ac:dyDescent="0.2">
      <c r="K503"/>
      <c r="L503"/>
    </row>
    <row r="504" spans="11:12" ht="15" customHeight="1" x14ac:dyDescent="0.2">
      <c r="K504"/>
      <c r="L504"/>
    </row>
    <row r="505" spans="11:12" ht="15" customHeight="1" x14ac:dyDescent="0.2">
      <c r="K505"/>
      <c r="L505"/>
    </row>
    <row r="506" spans="11:12" ht="15" customHeight="1" x14ac:dyDescent="0.2">
      <c r="K506"/>
      <c r="L506"/>
    </row>
    <row r="507" spans="11:12" ht="15" customHeight="1" x14ac:dyDescent="0.2">
      <c r="K507"/>
      <c r="L507"/>
    </row>
    <row r="508" spans="11:12" ht="15" customHeight="1" x14ac:dyDescent="0.2">
      <c r="K508"/>
      <c r="L508"/>
    </row>
    <row r="509" spans="11:12" ht="15" customHeight="1" x14ac:dyDescent="0.2">
      <c r="K509"/>
      <c r="L509"/>
    </row>
    <row r="510" spans="11:12" ht="15" customHeight="1" x14ac:dyDescent="0.2">
      <c r="K510"/>
      <c r="L510"/>
    </row>
    <row r="511" spans="11:12" ht="15" customHeight="1" x14ac:dyDescent="0.2">
      <c r="K511"/>
      <c r="L511"/>
    </row>
    <row r="512" spans="11:12" ht="15" customHeight="1" x14ac:dyDescent="0.2">
      <c r="K512"/>
      <c r="L512"/>
    </row>
    <row r="513" spans="11:12" ht="15" customHeight="1" x14ac:dyDescent="0.2">
      <c r="K513"/>
      <c r="L513"/>
    </row>
    <row r="514" spans="11:12" ht="15" customHeight="1" x14ac:dyDescent="0.2">
      <c r="K514"/>
      <c r="L514"/>
    </row>
    <row r="515" spans="11:12" ht="15" customHeight="1" x14ac:dyDescent="0.2">
      <c r="K515"/>
      <c r="L515"/>
    </row>
    <row r="516" spans="11:12" ht="15" customHeight="1" x14ac:dyDescent="0.2">
      <c r="K516"/>
      <c r="L516"/>
    </row>
    <row r="517" spans="11:12" ht="15" customHeight="1" x14ac:dyDescent="0.2">
      <c r="K517"/>
      <c r="L517"/>
    </row>
    <row r="518" spans="11:12" ht="15" customHeight="1" x14ac:dyDescent="0.2">
      <c r="K518"/>
      <c r="L518"/>
    </row>
    <row r="519" spans="11:12" ht="15" customHeight="1" x14ac:dyDescent="0.2">
      <c r="K519"/>
      <c r="L519"/>
    </row>
    <row r="520" spans="11:12" ht="15" customHeight="1" x14ac:dyDescent="0.2">
      <c r="K520"/>
      <c r="L520"/>
    </row>
    <row r="521" spans="11:12" ht="15" customHeight="1" x14ac:dyDescent="0.2">
      <c r="K521"/>
      <c r="L521"/>
    </row>
    <row r="522" spans="11:12" ht="15" customHeight="1" x14ac:dyDescent="0.2">
      <c r="K522"/>
      <c r="L522"/>
    </row>
    <row r="523" spans="11:12" ht="15" customHeight="1" x14ac:dyDescent="0.2">
      <c r="K523"/>
      <c r="L523"/>
    </row>
    <row r="524" spans="11:12" ht="15" customHeight="1" x14ac:dyDescent="0.2">
      <c r="K524"/>
      <c r="L524"/>
    </row>
    <row r="525" spans="11:12" ht="15" customHeight="1" x14ac:dyDescent="0.2">
      <c r="K525"/>
      <c r="L525"/>
    </row>
    <row r="526" spans="11:12" ht="15" customHeight="1" x14ac:dyDescent="0.2">
      <c r="K526"/>
      <c r="L526"/>
    </row>
    <row r="527" spans="11:12" ht="15" customHeight="1" x14ac:dyDescent="0.2">
      <c r="K527"/>
      <c r="L527"/>
    </row>
    <row r="528" spans="11:12" ht="15" customHeight="1" x14ac:dyDescent="0.2">
      <c r="K528"/>
      <c r="L528"/>
    </row>
    <row r="529" spans="11:12" ht="15" customHeight="1" x14ac:dyDescent="0.2">
      <c r="K529"/>
      <c r="L529"/>
    </row>
    <row r="530" spans="11:12" ht="15" customHeight="1" x14ac:dyDescent="0.2">
      <c r="K530"/>
      <c r="L530"/>
    </row>
    <row r="531" spans="11:12" ht="15" customHeight="1" x14ac:dyDescent="0.2">
      <c r="K531"/>
      <c r="L531"/>
    </row>
    <row r="532" spans="11:12" ht="15" customHeight="1" x14ac:dyDescent="0.2">
      <c r="K532"/>
      <c r="L532"/>
    </row>
    <row r="533" spans="11:12" ht="15" customHeight="1" x14ac:dyDescent="0.2">
      <c r="K533"/>
      <c r="L533"/>
    </row>
    <row r="534" spans="11:12" ht="15" customHeight="1" x14ac:dyDescent="0.2">
      <c r="K534"/>
      <c r="L534"/>
    </row>
    <row r="535" spans="11:12" ht="15" customHeight="1" x14ac:dyDescent="0.2">
      <c r="K535"/>
      <c r="L535"/>
    </row>
    <row r="536" spans="11:12" ht="15" customHeight="1" x14ac:dyDescent="0.2">
      <c r="K536"/>
      <c r="L536"/>
    </row>
  </sheetData>
  <mergeCells count="527">
    <mergeCell ref="G329:G331"/>
    <mergeCell ref="G332:G335"/>
    <mergeCell ref="G336:G337"/>
    <mergeCell ref="F336:F338"/>
    <mergeCell ref="B329:B338"/>
    <mergeCell ref="C329:C338"/>
    <mergeCell ref="A329:A338"/>
    <mergeCell ref="B326:C326"/>
    <mergeCell ref="B327:C327"/>
    <mergeCell ref="D335:D336"/>
    <mergeCell ref="F329:F335"/>
    <mergeCell ref="D331:D332"/>
    <mergeCell ref="A278:A280"/>
    <mergeCell ref="E291:E292"/>
    <mergeCell ref="F291:F292"/>
    <mergeCell ref="H282:H285"/>
    <mergeCell ref="G282:G288"/>
    <mergeCell ref="F282:F288"/>
    <mergeCell ref="E282:E288"/>
    <mergeCell ref="B282:B288"/>
    <mergeCell ref="C282:C288"/>
    <mergeCell ref="A282:A288"/>
    <mergeCell ref="H286:H288"/>
    <mergeCell ref="G291:G292"/>
    <mergeCell ref="H291:H292"/>
    <mergeCell ref="F279:F280"/>
    <mergeCell ref="C278:C280"/>
    <mergeCell ref="B278:B280"/>
    <mergeCell ref="A262:A263"/>
    <mergeCell ref="A264:A267"/>
    <mergeCell ref="D254:D255"/>
    <mergeCell ref="A253:A261"/>
    <mergeCell ref="G255:G256"/>
    <mergeCell ref="E262:E263"/>
    <mergeCell ref="D264:D265"/>
    <mergeCell ref="B264:B267"/>
    <mergeCell ref="C264:C267"/>
    <mergeCell ref="B262:B263"/>
    <mergeCell ref="C262:C263"/>
    <mergeCell ref="F262:F263"/>
    <mergeCell ref="G262:G263"/>
    <mergeCell ref="D256:D257"/>
    <mergeCell ref="D259:D260"/>
    <mergeCell ref="G257:G261"/>
    <mergeCell ref="F248:F251"/>
    <mergeCell ref="H262:H263"/>
    <mergeCell ref="G265:G267"/>
    <mergeCell ref="E264:E267"/>
    <mergeCell ref="F264:F267"/>
    <mergeCell ref="H260:H261"/>
    <mergeCell ref="G253:G254"/>
    <mergeCell ref="E253:E261"/>
    <mergeCell ref="F253:F261"/>
    <mergeCell ref="D248:D249"/>
    <mergeCell ref="B248:B251"/>
    <mergeCell ref="C248:C251"/>
    <mergeCell ref="A248:A251"/>
    <mergeCell ref="E248:E251"/>
    <mergeCell ref="C253:C261"/>
    <mergeCell ref="B253:B261"/>
    <mergeCell ref="A240:A243"/>
    <mergeCell ref="A244:A246"/>
    <mergeCell ref="B244:B246"/>
    <mergeCell ref="C244:C246"/>
    <mergeCell ref="B247:C247"/>
    <mergeCell ref="G244:G246"/>
    <mergeCell ref="F244:F246"/>
    <mergeCell ref="E244:E246"/>
    <mergeCell ref="D238:D239"/>
    <mergeCell ref="G235:G238"/>
    <mergeCell ref="C232:C239"/>
    <mergeCell ref="B232:B239"/>
    <mergeCell ref="F240:F243"/>
    <mergeCell ref="B231:C231"/>
    <mergeCell ref="D241:D242"/>
    <mergeCell ref="B240:B243"/>
    <mergeCell ref="C240:C243"/>
    <mergeCell ref="E240:E243"/>
    <mergeCell ref="C225:C227"/>
    <mergeCell ref="B225:B227"/>
    <mergeCell ref="D175:D176"/>
    <mergeCell ref="A194:A195"/>
    <mergeCell ref="E191:E192"/>
    <mergeCell ref="A191:A192"/>
    <mergeCell ref="B191:B192"/>
    <mergeCell ref="C191:C192"/>
    <mergeCell ref="E175:E178"/>
    <mergeCell ref="B224:C224"/>
    <mergeCell ref="B194:B195"/>
    <mergeCell ref="C194:C195"/>
    <mergeCell ref="E194:E195"/>
    <mergeCell ref="D197:D198"/>
    <mergeCell ref="B197:B200"/>
    <mergeCell ref="C197:C200"/>
    <mergeCell ref="M108:M111"/>
    <mergeCell ref="A232:A239"/>
    <mergeCell ref="F232:F239"/>
    <mergeCell ref="E232:E239"/>
    <mergeCell ref="B168:C168"/>
    <mergeCell ref="B193:C193"/>
    <mergeCell ref="G229:G230"/>
    <mergeCell ref="F229:F230"/>
    <mergeCell ref="E229:E230"/>
    <mergeCell ref="C229:C230"/>
    <mergeCell ref="B229:B230"/>
    <mergeCell ref="A225:A227"/>
    <mergeCell ref="A229:A230"/>
    <mergeCell ref="F225:F227"/>
    <mergeCell ref="E225:E227"/>
    <mergeCell ref="D225:D226"/>
    <mergeCell ref="H235:H237"/>
    <mergeCell ref="H232:H234"/>
    <mergeCell ref="G232:G234"/>
    <mergeCell ref="N117:N136"/>
    <mergeCell ref="N113:N116"/>
    <mergeCell ref="L113:L116"/>
    <mergeCell ref="H129:H130"/>
    <mergeCell ref="G133:G134"/>
    <mergeCell ref="F165:H165"/>
    <mergeCell ref="F194:F195"/>
    <mergeCell ref="G191:G192"/>
    <mergeCell ref="F191:F192"/>
    <mergeCell ref="F175:F178"/>
    <mergeCell ref="G170:G171"/>
    <mergeCell ref="F167:H167"/>
    <mergeCell ref="F168:H168"/>
    <mergeCell ref="B102:C102"/>
    <mergeCell ref="F155:H155"/>
    <mergeCell ref="F156:H156"/>
    <mergeCell ref="F162:H162"/>
    <mergeCell ref="F163:H163"/>
    <mergeCell ref="F112:H112"/>
    <mergeCell ref="B145:C145"/>
    <mergeCell ref="B137:C137"/>
    <mergeCell ref="D160:D161"/>
    <mergeCell ref="D118:D121"/>
    <mergeCell ref="D124:D126"/>
    <mergeCell ref="F149:F151"/>
    <mergeCell ref="B165:C165"/>
    <mergeCell ref="A170:A171"/>
    <mergeCell ref="B170:B171"/>
    <mergeCell ref="C170:C171"/>
    <mergeCell ref="E170:E171"/>
    <mergeCell ref="F170:F171"/>
    <mergeCell ref="B163:C163"/>
    <mergeCell ref="B156:C156"/>
    <mergeCell ref="N8:N10"/>
    <mergeCell ref="N25:N26"/>
    <mergeCell ref="N20:N24"/>
    <mergeCell ref="N15:N18"/>
    <mergeCell ref="N108:N111"/>
    <mergeCell ref="N103:N107"/>
    <mergeCell ref="N94:N101"/>
    <mergeCell ref="N91:N93"/>
    <mergeCell ref="L91:L93"/>
    <mergeCell ref="M91:M93"/>
    <mergeCell ref="L94:L101"/>
    <mergeCell ref="L103:L107"/>
    <mergeCell ref="M103:M107"/>
    <mergeCell ref="L108:L111"/>
    <mergeCell ref="G159:G161"/>
    <mergeCell ref="F158:F161"/>
    <mergeCell ref="E158:E161"/>
    <mergeCell ref="B158:B161"/>
    <mergeCell ref="C158:C161"/>
    <mergeCell ref="D158:D159"/>
    <mergeCell ref="F152:F154"/>
    <mergeCell ref="B152:B154"/>
    <mergeCell ref="C152:C154"/>
    <mergeCell ref="A152:A154"/>
    <mergeCell ref="E152:E154"/>
    <mergeCell ref="E147:E148"/>
    <mergeCell ref="F147:F148"/>
    <mergeCell ref="G147:G148"/>
    <mergeCell ref="B149:B151"/>
    <mergeCell ref="C149:C151"/>
    <mergeCell ref="D149:D150"/>
    <mergeCell ref="E149:E151"/>
    <mergeCell ref="A158:A161"/>
    <mergeCell ref="A147:A148"/>
    <mergeCell ref="B147:B148"/>
    <mergeCell ref="C147:C148"/>
    <mergeCell ref="D147:D148"/>
    <mergeCell ref="A149:A151"/>
    <mergeCell ref="M94:M101"/>
    <mergeCell ref="F88:H88"/>
    <mergeCell ref="G103:G104"/>
    <mergeCell ref="F103:F107"/>
    <mergeCell ref="E94:E101"/>
    <mergeCell ref="E103:E107"/>
    <mergeCell ref="B8:B10"/>
    <mergeCell ref="C94:C101"/>
    <mergeCell ref="B87:C87"/>
    <mergeCell ref="E39:E40"/>
    <mergeCell ref="E41:E50"/>
    <mergeCell ref="E51:E59"/>
    <mergeCell ref="B15:B18"/>
    <mergeCell ref="B90:C90"/>
    <mergeCell ref="C91:C93"/>
    <mergeCell ref="E8:E10"/>
    <mergeCell ref="E15:E18"/>
    <mergeCell ref="E20:E24"/>
    <mergeCell ref="B91:B93"/>
    <mergeCell ref="E91:E93"/>
    <mergeCell ref="F141:F143"/>
    <mergeCell ref="B141:B143"/>
    <mergeCell ref="C141:C143"/>
    <mergeCell ref="A141:A143"/>
    <mergeCell ref="E138:E139"/>
    <mergeCell ref="E141:E143"/>
    <mergeCell ref="A138:A139"/>
    <mergeCell ref="B138:B139"/>
    <mergeCell ref="C138:C139"/>
    <mergeCell ref="F138:F139"/>
    <mergeCell ref="G138:G139"/>
    <mergeCell ref="E113:E116"/>
    <mergeCell ref="E117:E136"/>
    <mergeCell ref="A94:A101"/>
    <mergeCell ref="A103:A107"/>
    <mergeCell ref="A108:A111"/>
    <mergeCell ref="D135:D136"/>
    <mergeCell ref="B113:B116"/>
    <mergeCell ref="C113:C116"/>
    <mergeCell ref="B108:B111"/>
    <mergeCell ref="C108:C111"/>
    <mergeCell ref="B103:B107"/>
    <mergeCell ref="C103:C107"/>
    <mergeCell ref="E108:E111"/>
    <mergeCell ref="A117:A136"/>
    <mergeCell ref="G110:G111"/>
    <mergeCell ref="A5:A7"/>
    <mergeCell ref="A8:A10"/>
    <mergeCell ref="A15:A18"/>
    <mergeCell ref="A20:A24"/>
    <mergeCell ref="A25:A26"/>
    <mergeCell ref="A27:A35"/>
    <mergeCell ref="A36:A38"/>
    <mergeCell ref="A39:A40"/>
    <mergeCell ref="A41:A50"/>
    <mergeCell ref="A51:A59"/>
    <mergeCell ref="A62:A63"/>
    <mergeCell ref="A66:A75"/>
    <mergeCell ref="A76:A86"/>
    <mergeCell ref="A91:A93"/>
    <mergeCell ref="B94:B101"/>
    <mergeCell ref="B66:B75"/>
    <mergeCell ref="C25:C26"/>
    <mergeCell ref="D105:D106"/>
    <mergeCell ref="A113:A116"/>
    <mergeCell ref="B117:B136"/>
    <mergeCell ref="C117:C136"/>
    <mergeCell ref="F5:F7"/>
    <mergeCell ref="B5:B7"/>
    <mergeCell ref="C5:C7"/>
    <mergeCell ref="B39:B40"/>
    <mergeCell ref="D42:D43"/>
    <mergeCell ref="F52:F57"/>
    <mergeCell ref="F62:F63"/>
    <mergeCell ref="F20:F24"/>
    <mergeCell ref="B20:B24"/>
    <mergeCell ref="C20:C24"/>
    <mergeCell ref="F43:F45"/>
    <mergeCell ref="B89:C89"/>
    <mergeCell ref="D133:D134"/>
    <mergeCell ref="B41:B50"/>
    <mergeCell ref="E76:E86"/>
    <mergeCell ref="H36:H37"/>
    <mergeCell ref="G76:G77"/>
    <mergeCell ref="E27:E35"/>
    <mergeCell ref="E36:E38"/>
    <mergeCell ref="G27:G29"/>
    <mergeCell ref="D71:D72"/>
    <mergeCell ref="D51:D52"/>
    <mergeCell ref="L51:L59"/>
    <mergeCell ref="M51:M59"/>
    <mergeCell ref="D57:D58"/>
    <mergeCell ref="E66:E75"/>
    <mergeCell ref="L36:L38"/>
    <mergeCell ref="M36:M38"/>
    <mergeCell ref="L39:L40"/>
    <mergeCell ref="M39:M40"/>
    <mergeCell ref="L27:L35"/>
    <mergeCell ref="M27:M35"/>
    <mergeCell ref="N76:N86"/>
    <mergeCell ref="N41:N50"/>
    <mergeCell ref="N51:N59"/>
    <mergeCell ref="L66:L75"/>
    <mergeCell ref="M66:M75"/>
    <mergeCell ref="L76:L86"/>
    <mergeCell ref="M76:M86"/>
    <mergeCell ref="L62:L63"/>
    <mergeCell ref="M62:M63"/>
    <mergeCell ref="L41:L50"/>
    <mergeCell ref="M41:M50"/>
    <mergeCell ref="N27:N35"/>
    <mergeCell ref="N36:N38"/>
    <mergeCell ref="N39:N40"/>
    <mergeCell ref="N62:N63"/>
    <mergeCell ref="N66:N75"/>
    <mergeCell ref="F25:F26"/>
    <mergeCell ref="L1:M1"/>
    <mergeCell ref="M8:M10"/>
    <mergeCell ref="L15:L18"/>
    <mergeCell ref="M15:M18"/>
    <mergeCell ref="L20:L24"/>
    <mergeCell ref="M20:M24"/>
    <mergeCell ref="L25:L26"/>
    <mergeCell ref="M25:M26"/>
    <mergeCell ref="G17:G18"/>
    <mergeCell ref="K5:K7"/>
    <mergeCell ref="H3:H4"/>
    <mergeCell ref="G15:G16"/>
    <mergeCell ref="F15:F18"/>
    <mergeCell ref="F8:F10"/>
    <mergeCell ref="G8:G10"/>
    <mergeCell ref="H113:H114"/>
    <mergeCell ref="G129:G131"/>
    <mergeCell ref="G20:G24"/>
    <mergeCell ref="G126:G128"/>
    <mergeCell ref="H25:H26"/>
    <mergeCell ref="G25:G26"/>
    <mergeCell ref="G91:G93"/>
    <mergeCell ref="G119:G121"/>
    <mergeCell ref="G62:G63"/>
    <mergeCell ref="F102:H102"/>
    <mergeCell ref="F117:F136"/>
    <mergeCell ref="F113:F116"/>
    <mergeCell ref="G113:G116"/>
    <mergeCell ref="F91:F93"/>
    <mergeCell ref="E5:E7"/>
    <mergeCell ref="E25:E26"/>
    <mergeCell ref="M113:M116"/>
    <mergeCell ref="L117:L136"/>
    <mergeCell ref="D130:D132"/>
    <mergeCell ref="D127:D129"/>
    <mergeCell ref="M117:M136"/>
    <mergeCell ref="L8:L10"/>
    <mergeCell ref="G100:G101"/>
    <mergeCell ref="G124:G125"/>
    <mergeCell ref="F108:F111"/>
    <mergeCell ref="F36:F38"/>
    <mergeCell ref="G82:G84"/>
    <mergeCell ref="D84:D85"/>
    <mergeCell ref="G85:G86"/>
    <mergeCell ref="F76:F86"/>
    <mergeCell ref="C66:C75"/>
    <mergeCell ref="D67:D68"/>
    <mergeCell ref="H100:H101"/>
    <mergeCell ref="D96:D97"/>
    <mergeCell ref="F39:F40"/>
    <mergeCell ref="G39:G40"/>
    <mergeCell ref="G94:G95"/>
    <mergeCell ref="G97:G99"/>
    <mergeCell ref="F94:F101"/>
    <mergeCell ref="F46:F48"/>
    <mergeCell ref="H97:H98"/>
    <mergeCell ref="D78:D79"/>
    <mergeCell ref="E60:E61"/>
    <mergeCell ref="C60:C61"/>
    <mergeCell ref="E62:E63"/>
    <mergeCell ref="D76:D77"/>
    <mergeCell ref="B62:C63"/>
    <mergeCell ref="G52:G53"/>
    <mergeCell ref="G55:G57"/>
    <mergeCell ref="B27:B35"/>
    <mergeCell ref="C27:C35"/>
    <mergeCell ref="B36:B38"/>
    <mergeCell ref="C36:C38"/>
    <mergeCell ref="C39:C40"/>
    <mergeCell ref="G30:G31"/>
    <mergeCell ref="F27:F35"/>
    <mergeCell ref="B60:B61"/>
    <mergeCell ref="D46:D47"/>
    <mergeCell ref="C41:C50"/>
    <mergeCell ref="B51:B59"/>
    <mergeCell ref="C51:C59"/>
    <mergeCell ref="G3:G4"/>
    <mergeCell ref="L3:L4"/>
    <mergeCell ref="M3:M4"/>
    <mergeCell ref="C76:C86"/>
    <mergeCell ref="B76:B86"/>
    <mergeCell ref="D69:D70"/>
    <mergeCell ref="G70:G71"/>
    <mergeCell ref="F66:F75"/>
    <mergeCell ref="B19:C19"/>
    <mergeCell ref="C15:C18"/>
    <mergeCell ref="B25:B26"/>
    <mergeCell ref="G36:G38"/>
    <mergeCell ref="D82:D83"/>
    <mergeCell ref="C8:C10"/>
    <mergeCell ref="D28:D31"/>
    <mergeCell ref="B65:C65"/>
    <mergeCell ref="A2:D2"/>
    <mergeCell ref="A3:A4"/>
    <mergeCell ref="B3:B4"/>
    <mergeCell ref="C3:C4"/>
    <mergeCell ref="F3:F4"/>
    <mergeCell ref="E3:E4"/>
    <mergeCell ref="A172:A173"/>
    <mergeCell ref="B172:B173"/>
    <mergeCell ref="C172:C173"/>
    <mergeCell ref="A175:A178"/>
    <mergeCell ref="B175:B178"/>
    <mergeCell ref="C175:C178"/>
    <mergeCell ref="E179:E181"/>
    <mergeCell ref="F179:F181"/>
    <mergeCell ref="G179:G180"/>
    <mergeCell ref="F172:F173"/>
    <mergeCell ref="E172:E173"/>
    <mergeCell ref="A210:A211"/>
    <mergeCell ref="G198:G199"/>
    <mergeCell ref="D199:D200"/>
    <mergeCell ref="N3:N4"/>
    <mergeCell ref="A182:A190"/>
    <mergeCell ref="B182:B190"/>
    <mergeCell ref="C182:C190"/>
    <mergeCell ref="E182:E190"/>
    <mergeCell ref="D185:D186"/>
    <mergeCell ref="D187:D188"/>
    <mergeCell ref="F184:F185"/>
    <mergeCell ref="G184:G185"/>
    <mergeCell ref="G175:G178"/>
    <mergeCell ref="A179:A181"/>
    <mergeCell ref="B179:B181"/>
    <mergeCell ref="C179:C181"/>
    <mergeCell ref="E210:E211"/>
    <mergeCell ref="F210:F211"/>
    <mergeCell ref="G210:G211"/>
    <mergeCell ref="B210:B211"/>
    <mergeCell ref="C210:C211"/>
    <mergeCell ref="A197:A200"/>
    <mergeCell ref="E197:E200"/>
    <mergeCell ref="F197:F200"/>
    <mergeCell ref="H202:H205"/>
    <mergeCell ref="A202:A209"/>
    <mergeCell ref="G202:G207"/>
    <mergeCell ref="G208:G209"/>
    <mergeCell ref="F202:F209"/>
    <mergeCell ref="C202:C209"/>
    <mergeCell ref="B202:B209"/>
    <mergeCell ref="E202:E209"/>
    <mergeCell ref="B217:B223"/>
    <mergeCell ref="C217:C223"/>
    <mergeCell ref="A217:A223"/>
    <mergeCell ref="F212:F213"/>
    <mergeCell ref="G212:G213"/>
    <mergeCell ref="A212:A213"/>
    <mergeCell ref="B212:B213"/>
    <mergeCell ref="C212:C213"/>
    <mergeCell ref="E212:E213"/>
    <mergeCell ref="D220:D221"/>
    <mergeCell ref="G222:G223"/>
    <mergeCell ref="G217:G219"/>
    <mergeCell ref="F217:F223"/>
    <mergeCell ref="E217:E223"/>
    <mergeCell ref="E214:E216"/>
    <mergeCell ref="F214:F216"/>
    <mergeCell ref="B214:B216"/>
    <mergeCell ref="C214:C216"/>
    <mergeCell ref="A214:A216"/>
    <mergeCell ref="B269:B275"/>
    <mergeCell ref="C269:C275"/>
    <mergeCell ref="A269:A275"/>
    <mergeCell ref="E269:E275"/>
    <mergeCell ref="F269:F275"/>
    <mergeCell ref="G270:G271"/>
    <mergeCell ref="D269:D270"/>
    <mergeCell ref="D271:D272"/>
    <mergeCell ref="G273:G275"/>
    <mergeCell ref="H273:H275"/>
    <mergeCell ref="A315:A324"/>
    <mergeCell ref="E276:E277"/>
    <mergeCell ref="D276:D277"/>
    <mergeCell ref="B276:B277"/>
    <mergeCell ref="C276:C277"/>
    <mergeCell ref="A276:A277"/>
    <mergeCell ref="E278:E280"/>
    <mergeCell ref="B289:C289"/>
    <mergeCell ref="B295:C295"/>
    <mergeCell ref="B300:C300"/>
    <mergeCell ref="B299:C299"/>
    <mergeCell ref="B290:B292"/>
    <mergeCell ref="C290:C292"/>
    <mergeCell ref="A290:A292"/>
    <mergeCell ref="A302:A303"/>
    <mergeCell ref="A305:A311"/>
    <mergeCell ref="F305:F311"/>
    <mergeCell ref="G305:G306"/>
    <mergeCell ref="G307:G308"/>
    <mergeCell ref="G309:G311"/>
    <mergeCell ref="B343:C343"/>
    <mergeCell ref="G317:G318"/>
    <mergeCell ref="G319:G320"/>
    <mergeCell ref="G322:G324"/>
    <mergeCell ref="F315:F324"/>
    <mergeCell ref="B312:C312"/>
    <mergeCell ref="D315:D317"/>
    <mergeCell ref="D318:D319"/>
    <mergeCell ref="D320:D321"/>
    <mergeCell ref="B315:B324"/>
    <mergeCell ref="C315:C324"/>
    <mergeCell ref="E315:E324"/>
    <mergeCell ref="B313:C313"/>
    <mergeCell ref="B304:C304"/>
    <mergeCell ref="B302:B303"/>
    <mergeCell ref="C302:C303"/>
    <mergeCell ref="E302:E303"/>
    <mergeCell ref="E305:E311"/>
    <mergeCell ref="B305:B311"/>
    <mergeCell ref="C305:C311"/>
    <mergeCell ref="G344:G346"/>
    <mergeCell ref="H344:H346"/>
    <mergeCell ref="D347:D348"/>
    <mergeCell ref="D350:D352"/>
    <mergeCell ref="G348:G350"/>
    <mergeCell ref="G352:G353"/>
    <mergeCell ref="A347:A359"/>
    <mergeCell ref="A344:A346"/>
    <mergeCell ref="B344:B346"/>
    <mergeCell ref="C344:C346"/>
    <mergeCell ref="F344:F346"/>
    <mergeCell ref="D355:D356"/>
    <mergeCell ref="G354:G355"/>
    <mergeCell ref="G357:G358"/>
    <mergeCell ref="F347:F359"/>
    <mergeCell ref="B347:B359"/>
    <mergeCell ref="C347:C359"/>
  </mergeCells>
  <conditionalFormatting sqref="J3:J1000">
    <cfRule type="cellIs" dxfId="0" priority="24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/>
  </sheetViews>
  <sheetFormatPr baseColWidth="10" defaultColWidth="10.83203125" defaultRowHeight="14" x14ac:dyDescent="0.2"/>
  <cols>
    <col min="1" max="1" width="10.83203125" style="7" customWidth="1"/>
    <col min="2" max="2" width="15.83203125" style="7" customWidth="1"/>
    <col min="3" max="8" width="15.6640625" style="7" customWidth="1"/>
    <col min="9" max="9" width="60.83203125" style="7" customWidth="1"/>
    <col min="10" max="16384" width="10.83203125" style="7"/>
  </cols>
  <sheetData>
    <row r="1" spans="1:9" x14ac:dyDescent="0.2">
      <c r="A1" s="7" t="s">
        <v>5</v>
      </c>
      <c r="B1" s="7" t="s">
        <v>588</v>
      </c>
      <c r="C1" s="7" t="s">
        <v>589</v>
      </c>
      <c r="D1" s="7" t="s">
        <v>590</v>
      </c>
      <c r="E1" s="7" t="s">
        <v>591</v>
      </c>
      <c r="F1" s="2" t="s">
        <v>592</v>
      </c>
      <c r="G1" s="2"/>
      <c r="H1" s="2"/>
      <c r="I1" s="7" t="s">
        <v>593</v>
      </c>
    </row>
    <row r="2" spans="1:9" x14ac:dyDescent="0.2">
      <c r="A2" s="2" t="s">
        <v>15</v>
      </c>
      <c r="B2" s="2" t="s">
        <v>594</v>
      </c>
      <c r="C2" s="2" t="s">
        <v>595</v>
      </c>
      <c r="D2" s="2" t="s">
        <v>596</v>
      </c>
      <c r="E2" s="7" t="s">
        <v>597</v>
      </c>
      <c r="F2" s="7" t="s">
        <v>16</v>
      </c>
      <c r="G2" s="7" t="s">
        <v>17</v>
      </c>
      <c r="H2" s="7" t="s">
        <v>598</v>
      </c>
    </row>
    <row r="3" spans="1:9" x14ac:dyDescent="0.2">
      <c r="A3" s="2"/>
      <c r="B3" s="2"/>
      <c r="C3" s="2"/>
      <c r="D3" s="2"/>
      <c r="E3" s="7" t="s">
        <v>599</v>
      </c>
      <c r="F3" s="7" t="s">
        <v>16</v>
      </c>
      <c r="G3" s="6" t="s">
        <v>31</v>
      </c>
      <c r="H3" s="7" t="s">
        <v>600</v>
      </c>
    </row>
    <row r="4" spans="1:9" x14ac:dyDescent="0.2">
      <c r="A4" s="2"/>
      <c r="B4" s="2"/>
      <c r="C4" s="2"/>
      <c r="D4" s="2"/>
      <c r="E4" s="7" t="s">
        <v>601</v>
      </c>
      <c r="F4" s="7" t="s">
        <v>80</v>
      </c>
      <c r="G4" s="7" t="s">
        <v>84</v>
      </c>
      <c r="H4" s="7" t="s">
        <v>602</v>
      </c>
    </row>
    <row r="5" spans="1:9" x14ac:dyDescent="0.2">
      <c r="A5" s="2"/>
      <c r="B5" s="2"/>
      <c r="C5" s="2"/>
      <c r="D5" s="7" t="s">
        <v>603</v>
      </c>
      <c r="E5" s="7" t="s">
        <v>599</v>
      </c>
      <c r="F5" s="7" t="s">
        <v>55</v>
      </c>
      <c r="G5" s="7" t="s">
        <v>56</v>
      </c>
      <c r="H5" s="7" t="s">
        <v>604</v>
      </c>
    </row>
    <row r="6" spans="1:9" x14ac:dyDescent="0.2">
      <c r="A6" s="2"/>
      <c r="B6" s="2"/>
      <c r="C6" s="7" t="s">
        <v>605</v>
      </c>
      <c r="D6" s="7" t="s">
        <v>606</v>
      </c>
      <c r="E6" s="7" t="s">
        <v>597</v>
      </c>
      <c r="F6" s="7" t="s">
        <v>26</v>
      </c>
      <c r="G6" s="7" t="s">
        <v>606</v>
      </c>
      <c r="H6" s="7" t="s">
        <v>607</v>
      </c>
    </row>
    <row r="7" spans="1:9" x14ac:dyDescent="0.2">
      <c r="A7" s="2"/>
      <c r="B7" s="2"/>
      <c r="C7" s="7" t="s">
        <v>608</v>
      </c>
      <c r="D7" s="7" t="s">
        <v>606</v>
      </c>
      <c r="E7" s="7" t="s">
        <v>609</v>
      </c>
      <c r="F7" s="7" t="s">
        <v>49</v>
      </c>
      <c r="G7" s="7" t="s">
        <v>606</v>
      </c>
      <c r="H7" s="7" t="s">
        <v>610</v>
      </c>
    </row>
    <row r="8" spans="1:9" x14ac:dyDescent="0.2">
      <c r="A8" s="2" t="s">
        <v>38</v>
      </c>
      <c r="B8" s="2" t="s">
        <v>611</v>
      </c>
      <c r="C8" s="2" t="s">
        <v>612</v>
      </c>
      <c r="D8" s="7" t="s">
        <v>613</v>
      </c>
      <c r="E8" s="7" t="s">
        <v>614</v>
      </c>
      <c r="F8" s="7" t="s">
        <v>44</v>
      </c>
      <c r="G8" s="7" t="s">
        <v>615</v>
      </c>
      <c r="H8" s="7" t="s">
        <v>614</v>
      </c>
      <c r="I8" s="7" t="s">
        <v>616</v>
      </c>
    </row>
    <row r="9" spans="1:9" x14ac:dyDescent="0.2">
      <c r="A9" s="2"/>
      <c r="B9" s="2"/>
      <c r="C9" s="2"/>
      <c r="D9" s="2" t="s">
        <v>617</v>
      </c>
      <c r="E9" s="7" t="s">
        <v>614</v>
      </c>
      <c r="F9" s="7" t="s">
        <v>618</v>
      </c>
      <c r="G9" s="7" t="s">
        <v>618</v>
      </c>
      <c r="H9" s="7" t="s">
        <v>614</v>
      </c>
      <c r="I9" s="7" t="s">
        <v>619</v>
      </c>
    </row>
    <row r="10" spans="1:9" x14ac:dyDescent="0.2">
      <c r="A10" s="2"/>
      <c r="B10" s="2"/>
      <c r="C10" s="7" t="s">
        <v>620</v>
      </c>
      <c r="D10" s="2"/>
      <c r="E10" s="7" t="s">
        <v>614</v>
      </c>
      <c r="F10" s="7" t="s">
        <v>618</v>
      </c>
      <c r="G10" s="7" t="s">
        <v>618</v>
      </c>
      <c r="H10" s="7" t="s">
        <v>614</v>
      </c>
      <c r="I10" s="7" t="s">
        <v>619</v>
      </c>
    </row>
    <row r="11" spans="1:9" x14ac:dyDescent="0.2">
      <c r="A11" s="2"/>
      <c r="B11" s="2"/>
      <c r="C11" s="7" t="s">
        <v>621</v>
      </c>
      <c r="D11" s="2"/>
      <c r="E11" s="7" t="s">
        <v>614</v>
      </c>
      <c r="F11" s="7" t="s">
        <v>59</v>
      </c>
      <c r="G11" s="7" t="s">
        <v>60</v>
      </c>
      <c r="H11" s="7" t="s">
        <v>614</v>
      </c>
    </row>
    <row r="12" spans="1:9" x14ac:dyDescent="0.2">
      <c r="A12" s="2"/>
      <c r="B12" s="2"/>
      <c r="C12" s="7" t="s">
        <v>622</v>
      </c>
      <c r="D12" s="2"/>
      <c r="E12" s="7" t="s">
        <v>614</v>
      </c>
      <c r="F12" s="7" t="s">
        <v>39</v>
      </c>
      <c r="G12" s="7" t="s">
        <v>42</v>
      </c>
      <c r="H12" s="7" t="s">
        <v>614</v>
      </c>
    </row>
    <row r="13" spans="1:9" x14ac:dyDescent="0.2">
      <c r="A13" s="7" t="s">
        <v>91</v>
      </c>
      <c r="B13" s="7" t="s">
        <v>623</v>
      </c>
      <c r="C13" s="7" t="s">
        <v>624</v>
      </c>
      <c r="D13" s="7" t="s">
        <v>606</v>
      </c>
      <c r="E13" s="7" t="s">
        <v>625</v>
      </c>
      <c r="F13" s="7" t="s">
        <v>626</v>
      </c>
      <c r="G13" s="7" t="s">
        <v>606</v>
      </c>
      <c r="H13" s="7" t="s">
        <v>626</v>
      </c>
    </row>
    <row r="14" spans="1:9" x14ac:dyDescent="0.2">
      <c r="A14" s="7" t="s">
        <v>95</v>
      </c>
      <c r="C14" s="7" t="s">
        <v>606</v>
      </c>
      <c r="D14" s="7" t="s">
        <v>606</v>
      </c>
      <c r="E14" s="7" t="s">
        <v>606</v>
      </c>
      <c r="F14" s="7" t="s">
        <v>606</v>
      </c>
      <c r="G14" s="7" t="s">
        <v>606</v>
      </c>
      <c r="H14" s="7" t="s">
        <v>606</v>
      </c>
    </row>
    <row r="15" spans="1:9" x14ac:dyDescent="0.2">
      <c r="A15" s="2" t="s">
        <v>97</v>
      </c>
      <c r="B15" s="2" t="s">
        <v>627</v>
      </c>
      <c r="C15" s="2" t="s">
        <v>628</v>
      </c>
      <c r="D15" s="7" t="s">
        <v>629</v>
      </c>
      <c r="E15" s="2" t="s">
        <v>630</v>
      </c>
      <c r="F15" s="7" t="s">
        <v>631</v>
      </c>
      <c r="G15" s="7" t="s">
        <v>632</v>
      </c>
      <c r="H15" s="7" t="s">
        <v>632</v>
      </c>
    </row>
    <row r="16" spans="1:9" x14ac:dyDescent="0.2">
      <c r="A16" s="2"/>
      <c r="B16" s="2"/>
      <c r="C16" s="2"/>
      <c r="D16" s="7" t="s">
        <v>633</v>
      </c>
      <c r="E16" s="2"/>
      <c r="F16" s="7" t="s">
        <v>618</v>
      </c>
      <c r="G16" s="7" t="s">
        <v>618</v>
      </c>
      <c r="H16" s="7" t="s">
        <v>618</v>
      </c>
      <c r="I16" s="7" t="s">
        <v>634</v>
      </c>
    </row>
    <row r="17" spans="1:9" x14ac:dyDescent="0.2">
      <c r="A17" s="2" t="s">
        <v>107</v>
      </c>
      <c r="B17" s="2" t="s">
        <v>635</v>
      </c>
      <c r="C17" s="2" t="s">
        <v>636</v>
      </c>
      <c r="D17" s="7" t="s">
        <v>637</v>
      </c>
      <c r="E17" s="7" t="s">
        <v>638</v>
      </c>
      <c r="F17" s="7" t="s">
        <v>639</v>
      </c>
      <c r="G17" s="7" t="s">
        <v>640</v>
      </c>
      <c r="H17" s="7" t="s">
        <v>641</v>
      </c>
    </row>
    <row r="18" spans="1:9" x14ac:dyDescent="0.2">
      <c r="A18" s="2"/>
      <c r="B18" s="2"/>
      <c r="C18" s="2"/>
      <c r="D18" s="7" t="s">
        <v>606</v>
      </c>
      <c r="E18" s="7" t="s">
        <v>638</v>
      </c>
      <c r="F18" s="7" t="s">
        <v>642</v>
      </c>
      <c r="G18" s="7" t="s">
        <v>606</v>
      </c>
      <c r="H18" s="7" t="s">
        <v>643</v>
      </c>
    </row>
    <row r="19" spans="1:9" x14ac:dyDescent="0.2">
      <c r="A19" s="7" t="s">
        <v>117</v>
      </c>
      <c r="B19" s="7" t="s">
        <v>644</v>
      </c>
      <c r="C19" s="7" t="s">
        <v>645</v>
      </c>
      <c r="D19" s="7" t="s">
        <v>646</v>
      </c>
      <c r="E19" s="7" t="s">
        <v>647</v>
      </c>
      <c r="F19" s="7" t="s">
        <v>648</v>
      </c>
      <c r="G19" s="7" t="s">
        <v>649</v>
      </c>
      <c r="H19" s="7" t="s">
        <v>649</v>
      </c>
      <c r="I19" s="7" t="s">
        <v>650</v>
      </c>
    </row>
    <row r="20" spans="1:9" x14ac:dyDescent="0.2">
      <c r="A20" s="2" t="s">
        <v>121</v>
      </c>
      <c r="B20" s="2" t="s">
        <v>644</v>
      </c>
      <c r="C20" s="2" t="s">
        <v>645</v>
      </c>
      <c r="D20" s="7" t="s">
        <v>606</v>
      </c>
      <c r="E20" s="2" t="s">
        <v>651</v>
      </c>
      <c r="F20" s="7" t="s">
        <v>652</v>
      </c>
      <c r="G20" s="7" t="s">
        <v>606</v>
      </c>
      <c r="H20" s="7" t="s">
        <v>653</v>
      </c>
    </row>
    <row r="21" spans="1:9" x14ac:dyDescent="0.2">
      <c r="A21" s="2"/>
      <c r="B21" s="2"/>
      <c r="C21" s="2"/>
      <c r="D21" s="7" t="s">
        <v>654</v>
      </c>
      <c r="E21" s="2"/>
      <c r="F21" s="7" t="s">
        <v>618</v>
      </c>
      <c r="G21" s="7" t="s">
        <v>618</v>
      </c>
      <c r="H21" s="7" t="s">
        <v>618</v>
      </c>
      <c r="I21" s="7" t="s">
        <v>619</v>
      </c>
    </row>
    <row r="22" spans="1:9" x14ac:dyDescent="0.2">
      <c r="A22" s="7" t="s">
        <v>125</v>
      </c>
      <c r="B22" s="7" t="s">
        <v>655</v>
      </c>
      <c r="C22" s="7" t="s">
        <v>656</v>
      </c>
      <c r="D22" s="7" t="s">
        <v>657</v>
      </c>
      <c r="E22" s="7" t="s">
        <v>658</v>
      </c>
      <c r="F22" s="7" t="s">
        <v>659</v>
      </c>
      <c r="G22" s="7" t="s">
        <v>660</v>
      </c>
      <c r="H22" s="7" t="s">
        <v>660</v>
      </c>
    </row>
    <row r="23" spans="1:9" x14ac:dyDescent="0.2">
      <c r="A23" s="7" t="s">
        <v>141</v>
      </c>
      <c r="B23" s="7" t="s">
        <v>644</v>
      </c>
      <c r="C23" s="7" t="s">
        <v>661</v>
      </c>
      <c r="D23" s="7" t="s">
        <v>662</v>
      </c>
      <c r="E23" s="7" t="s">
        <v>606</v>
      </c>
      <c r="F23" s="7" t="s">
        <v>663</v>
      </c>
      <c r="G23" s="7" t="s">
        <v>664</v>
      </c>
      <c r="H23" s="7" t="s">
        <v>606</v>
      </c>
    </row>
    <row r="24" spans="1:9" x14ac:dyDescent="0.2">
      <c r="A24" s="2" t="s">
        <v>143</v>
      </c>
      <c r="B24" s="2" t="s">
        <v>665</v>
      </c>
      <c r="C24" s="7" t="s">
        <v>666</v>
      </c>
      <c r="D24" s="7" t="s">
        <v>667</v>
      </c>
      <c r="E24" s="7" t="s">
        <v>606</v>
      </c>
      <c r="F24" s="7" t="s">
        <v>668</v>
      </c>
      <c r="G24" s="7" t="s">
        <v>669</v>
      </c>
      <c r="H24" s="7" t="s">
        <v>606</v>
      </c>
    </row>
    <row r="25" spans="1:9" x14ac:dyDescent="0.2">
      <c r="A25" s="2"/>
      <c r="B25" s="2"/>
      <c r="C25" s="7" t="s">
        <v>670</v>
      </c>
      <c r="D25" s="7" t="s">
        <v>671</v>
      </c>
      <c r="E25" s="7" t="s">
        <v>606</v>
      </c>
      <c r="F25" s="7" t="s">
        <v>672</v>
      </c>
      <c r="G25" s="7" t="s">
        <v>614</v>
      </c>
      <c r="H25" s="7" t="s">
        <v>606</v>
      </c>
      <c r="I25" s="7" t="s">
        <v>673</v>
      </c>
    </row>
    <row r="26" spans="1:9" x14ac:dyDescent="0.2">
      <c r="A26" s="2" t="s">
        <v>148</v>
      </c>
      <c r="B26" s="2" t="s">
        <v>635</v>
      </c>
      <c r="C26" s="2" t="s">
        <v>674</v>
      </c>
      <c r="D26" s="7" t="s">
        <v>606</v>
      </c>
      <c r="E26" s="7" t="s">
        <v>675</v>
      </c>
      <c r="F26" s="7" t="s">
        <v>676</v>
      </c>
      <c r="G26" s="7" t="s">
        <v>606</v>
      </c>
      <c r="H26" s="7" t="s">
        <v>677</v>
      </c>
    </row>
    <row r="27" spans="1:9" x14ac:dyDescent="0.2">
      <c r="A27" s="2"/>
      <c r="B27" s="2"/>
      <c r="C27" s="2"/>
      <c r="D27" s="7" t="s">
        <v>654</v>
      </c>
      <c r="E27" s="7" t="s">
        <v>675</v>
      </c>
      <c r="F27" s="7" t="s">
        <v>618</v>
      </c>
      <c r="G27" s="7" t="s">
        <v>618</v>
      </c>
      <c r="H27" s="7" t="s">
        <v>618</v>
      </c>
      <c r="I27" s="7" t="s">
        <v>619</v>
      </c>
    </row>
    <row r="28" spans="1:9" x14ac:dyDescent="0.2">
      <c r="A28" s="92" t="s">
        <v>152</v>
      </c>
      <c r="B28" s="2" t="s">
        <v>635</v>
      </c>
      <c r="C28" s="2" t="s">
        <v>654</v>
      </c>
      <c r="D28" s="7" t="s">
        <v>606</v>
      </c>
      <c r="E28" s="7" t="s">
        <v>638</v>
      </c>
      <c r="F28" s="7" t="s">
        <v>678</v>
      </c>
      <c r="G28" s="7" t="s">
        <v>606</v>
      </c>
      <c r="H28" s="7" t="s">
        <v>679</v>
      </c>
      <c r="I28" s="80" t="s">
        <v>680</v>
      </c>
    </row>
    <row r="29" spans="1:9" x14ac:dyDescent="0.2">
      <c r="A29" s="92"/>
      <c r="B29" s="2"/>
      <c r="C29" s="2"/>
      <c r="D29" s="7" t="s">
        <v>681</v>
      </c>
      <c r="E29" s="7" t="s">
        <v>682</v>
      </c>
      <c r="F29" s="7" t="s">
        <v>683</v>
      </c>
      <c r="G29" s="7" t="s">
        <v>684</v>
      </c>
      <c r="H29" s="7" t="s">
        <v>160</v>
      </c>
      <c r="I29" s="80"/>
    </row>
    <row r="30" spans="1:9" x14ac:dyDescent="0.2">
      <c r="A30" s="92"/>
      <c r="B30" s="2"/>
      <c r="C30" s="2"/>
      <c r="D30" s="7" t="s">
        <v>685</v>
      </c>
      <c r="E30" s="7" t="s">
        <v>682</v>
      </c>
      <c r="F30" s="7" t="s">
        <v>686</v>
      </c>
      <c r="G30" s="7" t="s">
        <v>687</v>
      </c>
      <c r="H30" s="7" t="s">
        <v>187</v>
      </c>
      <c r="I30" s="80"/>
    </row>
    <row r="31" spans="1:9" x14ac:dyDescent="0.2">
      <c r="A31" s="92"/>
      <c r="B31" s="2"/>
      <c r="C31" s="2"/>
      <c r="D31" s="7" t="s">
        <v>606</v>
      </c>
      <c r="E31" s="7" t="s">
        <v>688</v>
      </c>
      <c r="F31" s="7" t="s">
        <v>686</v>
      </c>
      <c r="G31" s="7" t="s">
        <v>606</v>
      </c>
      <c r="H31" s="7" t="s">
        <v>188</v>
      </c>
      <c r="I31" s="80"/>
    </row>
    <row r="32" spans="1:9" x14ac:dyDescent="0.2">
      <c r="A32" s="92"/>
      <c r="B32" s="2"/>
      <c r="C32" s="2"/>
      <c r="D32" s="7" t="s">
        <v>689</v>
      </c>
      <c r="E32" s="7" t="s">
        <v>638</v>
      </c>
      <c r="F32" s="7" t="s">
        <v>690</v>
      </c>
      <c r="G32" s="7" t="s">
        <v>691</v>
      </c>
      <c r="H32" s="7" t="s">
        <v>191</v>
      </c>
      <c r="I32" s="80"/>
    </row>
    <row r="33" spans="1:9" x14ac:dyDescent="0.2">
      <c r="A33" s="92"/>
      <c r="B33" s="2"/>
      <c r="C33" s="2"/>
      <c r="D33" s="7" t="s">
        <v>692</v>
      </c>
      <c r="E33" s="7" t="s">
        <v>638</v>
      </c>
      <c r="F33" s="7" t="s">
        <v>693</v>
      </c>
      <c r="G33" s="7" t="s">
        <v>694</v>
      </c>
      <c r="H33" s="7" t="s">
        <v>695</v>
      </c>
      <c r="I33" s="80"/>
    </row>
    <row r="34" spans="1:9" ht="15" x14ac:dyDescent="0.2">
      <c r="A34" s="8" t="s">
        <v>162</v>
      </c>
      <c r="B34" s="7" t="s">
        <v>635</v>
      </c>
      <c r="C34" s="7" t="s">
        <v>696</v>
      </c>
      <c r="D34" s="7" t="s">
        <v>685</v>
      </c>
      <c r="E34" s="7" t="s">
        <v>697</v>
      </c>
      <c r="F34" s="7" t="s">
        <v>698</v>
      </c>
      <c r="G34" s="7" t="s">
        <v>699</v>
      </c>
      <c r="H34" s="7" t="s">
        <v>164</v>
      </c>
    </row>
    <row r="35" spans="1:9" x14ac:dyDescent="0.2">
      <c r="A35" s="7" t="s">
        <v>238</v>
      </c>
      <c r="B35" s="7" t="s">
        <v>700</v>
      </c>
      <c r="C35" s="7" t="s">
        <v>701</v>
      </c>
      <c r="D35" s="7" t="s">
        <v>702</v>
      </c>
      <c r="E35" s="7" t="s">
        <v>703</v>
      </c>
      <c r="F35" s="7" t="s">
        <v>704</v>
      </c>
      <c r="G35" s="7" t="s">
        <v>705</v>
      </c>
      <c r="H35" s="7" t="s">
        <v>706</v>
      </c>
    </row>
  </sheetData>
  <mergeCells count="29">
    <mergeCell ref="A28:A33"/>
    <mergeCell ref="D9:D12"/>
    <mergeCell ref="C8:C9"/>
    <mergeCell ref="B8:B12"/>
    <mergeCell ref="A8:A12"/>
    <mergeCell ref="A17:A18"/>
    <mergeCell ref="B17:B18"/>
    <mergeCell ref="C17:C18"/>
    <mergeCell ref="A26:A27"/>
    <mergeCell ref="A20:A21"/>
    <mergeCell ref="A24:A25"/>
    <mergeCell ref="E20:E21"/>
    <mergeCell ref="C20:C21"/>
    <mergeCell ref="B20:B21"/>
    <mergeCell ref="I28:I33"/>
    <mergeCell ref="C28:C33"/>
    <mergeCell ref="B28:B33"/>
    <mergeCell ref="C26:C27"/>
    <mergeCell ref="B26:B27"/>
    <mergeCell ref="B24:B25"/>
    <mergeCell ref="F1:H1"/>
    <mergeCell ref="A15:A16"/>
    <mergeCell ref="B15:B16"/>
    <mergeCell ref="C15:C16"/>
    <mergeCell ref="A2:A7"/>
    <mergeCell ref="B2:B7"/>
    <mergeCell ref="C2:C5"/>
    <mergeCell ref="D2:D4"/>
    <mergeCell ref="E15:E16"/>
  </mergeCells>
  <hyperlinks>
    <hyperlink ref="A28" r:id="rId1" xr:uid="{00000000-0004-0000-0100-000000000000}"/>
    <hyperlink ref="A29" r:id="rId2" display="https://en.wikipedia.org/wiki/Lists_of_municipalities_in_Canada" xr:uid="{00000000-0004-0000-0100-000001000000}"/>
    <hyperlink ref="A30" r:id="rId3" display="https://en.wikipedia.org/wiki/Lists_of_municipalities_in_Canada" xr:uid="{00000000-0004-0000-0100-000002000000}"/>
    <hyperlink ref="A31" r:id="rId4" display="https://en.wikipedia.org/wiki/Lists_of_municipalities_in_Canada" xr:uid="{00000000-0004-0000-0100-000003000000}"/>
    <hyperlink ref="A32" r:id="rId5" display="https://en.wikipedia.org/wiki/Lists_of_municipalities_in_Canada" xr:uid="{00000000-0004-0000-0100-000004000000}"/>
    <hyperlink ref="A33" r:id="rId6" display="https://en.wikipedia.org/wiki/Lists_of_municipalities_in_Canada" xr:uid="{00000000-0004-0000-0100-000005000000}"/>
    <hyperlink ref="A34" r:id="rId7" xr:uid="{00000000-0004-0000-01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出行记录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Zhou</cp:lastModifiedBy>
  <dcterms:modified xsi:type="dcterms:W3CDTF">2026-09-19T21:10:42Z</dcterms:modified>
</cp:coreProperties>
</file>